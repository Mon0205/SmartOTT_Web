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9000" firstSheet="6" activeTab="8"/>
  </bookViews>
  <sheets>
    <sheet name="Guidleline" sheetId="1" r:id="rId1"/>
    <sheet name="Cover" sheetId="2" r:id="rId2"/>
    <sheet name="FunctionList" sheetId="3" r:id="rId3"/>
    <sheet name="Test Report" sheetId="4" r:id="rId4"/>
    <sheet name="UT Lab 1" sheetId="5" r:id="rId5"/>
    <sheet name="UT Lab 2" sheetId="6" r:id="rId6"/>
    <sheet name="UT Lab 3" sheetId="7" r:id="rId7"/>
    <sheet name="UT Lab 4" sheetId="8" r:id="rId8"/>
    <sheet name="UT Lab 5" sheetId="9" r:id="rId9"/>
    <sheet name="UT Lab 6" sheetId="10" r:id="rId10"/>
    <sheet name="UT Lab 7" sheetId="11" r:id="rId11"/>
    <sheet name="UT Lab 8" sheetId="12" r:id="rId12"/>
    <sheet name="UT Lab 9" sheetId="13" r:id="rId13"/>
    <sheet name="UT Lab10" sheetId="14" r:id="rId14"/>
    <sheet name="UT Lab11" sheetId="15" r:id="rId15"/>
    <sheet name="Full Test Cases" sheetId="16" r:id="rId16"/>
  </sheets>
  <definedNames>
    <definedName name="ACTION">#REF!</definedName>
    <definedName name="_xlnm.Print_Area" localSheetId="0">Guidleline!$A$1:$A$48</definedName>
    <definedName name="_xlnm.Print_Area" localSheetId="2">FunctionList!$A$1:$H$39</definedName>
    <definedName name="_xlnm.Print_Area" localSheetId="3">'Test Report'!$A$1:$I$48</definedName>
    <definedName name="Z_2C0D9096_8D85_462A_A9B5_0B488ADB4269__wvu_PrintArea" localSheetId="3">'Test Report'!$A:$I</definedName>
    <definedName name="Z_6F1DCD5D_5DAC_4817_BF40_2B66F6F593E6__wvu_PrintArea" localSheetId="3">'Test Report'!$A:$I</definedName>
    <definedName name="Z_BE54E0AD_3725_4423_92D7_4F1C045BE1BC__wvu_PrintArea" localSheetId="3">'Test Report'!$A:$I</definedName>
    <definedName name="_xlnm.Print_Area" localSheetId="5">'UT Lab 2'!$A$1:$T$37</definedName>
    <definedName name="Z_2C0D9096_8D85_462A_A9B5_0B488ADB4269__wvu_Cols" localSheetId="5">'UT Lab 2'!$E:$E</definedName>
    <definedName name="Z_6F1DCD5D_5DAC_4817_BF40_2B66F6F593E6__wvu_Cols" localSheetId="5">'UT Lab 2'!$E:$E</definedName>
    <definedName name="Z_BE54E0AD_3725_4423_92D7_4F1C045BE1BC__wvu_Cols" localSheetId="5">'UT Lab 2'!$E:$E</definedName>
    <definedName name="_xlnm.Print_Area" localSheetId="6">'UT Lab 3'!$A$1:$T$71</definedName>
    <definedName name="Z_2C0D9096_8D85_462A_A9B5_0B488ADB4269__wvu_Cols" localSheetId="6">'UT Lab 3'!$E:$E</definedName>
    <definedName name="Z_6F1DCD5D_5DAC_4817_BF40_2B66F6F593E6__wvu_Cols" localSheetId="6">'UT Lab 3'!$E:$E</definedName>
    <definedName name="Z_BE54E0AD_3725_4423_92D7_4F1C045BE1BC__wvu_Cols" localSheetId="6">'UT Lab 3'!$E:$E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D11" authorId="0">
      <text>
        <r>
          <rPr>
            <sz val="10"/>
            <rFont val="SimSun"/>
            <charset val="134"/>
          </rPr>
          <t>*A: Add
  M: Modify
  D: Delete</t>
        </r>
      </text>
    </comment>
    <comment ref="A12" authorId="0">
      <text>
        <r>
          <rPr>
            <sz val="10"/>
            <rFont val="SimSun"/>
            <charset val="134"/>
          </rPr>
          <t>SV GHI NGÀY BẮT ĐẦU TẠO BÁO CÁO NÀY</t>
        </r>
      </text>
    </comment>
    <comment ref="A13" authorId="0">
      <text>
        <r>
          <rPr>
            <sz val="10"/>
            <rFont val="SimSun"/>
            <charset val="134"/>
          </rPr>
          <t>SV GHI NGÀY BẮT ĐẦU TẠO BÁO CÁO NÀY</t>
        </r>
      </text>
    </comment>
    <comment ref="A14" authorId="0">
      <text>
        <r>
          <rPr>
            <sz val="10"/>
            <rFont val="SimSun"/>
            <charset val="134"/>
          </rPr>
          <t>SV GHI NGÀY BẮT ĐẦU TẠO BÁO CÁO NÀY</t>
        </r>
      </text>
    </comment>
  </commentList>
</comments>
</file>

<file path=xl/comments2.xml><?xml version="1.0" encoding="utf-8"?>
<comments xmlns="http://schemas.openxmlformats.org/spreadsheetml/2006/main">
  <authors>
    <author>Unknown Author</author>
  </authors>
  <commentList>
    <comment ref="B6" authorId="0">
      <text>
        <r>
          <rPr>
            <sz val="10"/>
            <rFont val="SimSun"/>
            <charset val="134"/>
          </rPr>
          <t>Tuan Nguyen:
Tên tài liệu sau ghi vào</t>
        </r>
      </text>
    </comment>
    <comment ref="B12" authorId="0">
      <text>
        <r>
          <rPr>
            <sz val="10"/>
            <rFont val="SimSun"/>
            <charset val="134"/>
          </rPr>
          <t>BAOHA:
SV GHI TÊN SHEET TƯƠNG ỨNG (KÈM LINK)</t>
        </r>
      </text>
    </comment>
  </commentList>
</comments>
</file>

<file path=xl/comments3.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4.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5.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6.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7.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8.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9.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10.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11.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12.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13.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sharedStrings.xml><?xml version="1.0" encoding="utf-8"?>
<sst xmlns="http://schemas.openxmlformats.org/spreadsheetml/2006/main" count="2320" uniqueCount="911">
  <si>
    <t>Guideline to make and understand Unit Test Case</t>
  </si>
  <si>
    <t>1. Overview</t>
  </si>
  <si>
    <t xml:space="preserve"> - In the template, Unit test cases are based on functions. Each sheet presents test cases for one function.</t>
  </si>
  <si>
    <r>
      <rPr>
        <sz val="10"/>
        <rFont val="Tahoma"/>
        <charset val="134"/>
      </rPr>
      <t xml:space="preserve"> - </t>
    </r>
    <r>
      <rPr>
        <b/>
        <sz val="10"/>
        <rFont val="Tahoma"/>
        <charset val="134"/>
      </rPr>
      <t>Cover</t>
    </r>
    <r>
      <rPr>
        <sz val="10"/>
        <rFont val="Tahoma"/>
        <charset val="134"/>
      </rPr>
      <t>: General information of the project and Unit Test cases</t>
    </r>
  </si>
  <si>
    <r>
      <rPr>
        <sz val="10"/>
        <rFont val="Tahoma"/>
        <charset val="134"/>
      </rPr>
      <t xml:space="preserve"> - </t>
    </r>
    <r>
      <rPr>
        <b/>
        <sz val="10"/>
        <rFont val="Tahoma"/>
        <charset val="134"/>
      </rPr>
      <t>FunctionList</t>
    </r>
    <r>
      <rPr>
        <sz val="10"/>
        <rFont val="Tahoma"/>
        <charset val="134"/>
      </rPr>
      <t xml:space="preserve">: The list of Classes and Functions in the document. 
     + To control that the number of Unit TC meets customer's requirement or the norm, user should fill value for  
     'Normal number of Test cases/KLOC'. </t>
    </r>
  </si>
  <si>
    <r>
      <rPr>
        <sz val="10"/>
        <rFont val="Tahoma"/>
        <charset val="134"/>
      </rPr>
      <t xml:space="preserve">     + Click on Function link to open the related Test cases of the function.  
     </t>
    </r>
    <r>
      <rPr>
        <i/>
        <sz val="10"/>
        <rFont val="Tahoma"/>
        <charset val="134"/>
      </rPr>
      <t>Note:</t>
    </r>
    <r>
      <rPr>
        <sz val="10"/>
        <rFont val="Tahoma"/>
        <charset val="134"/>
      </rPr>
      <t xml:space="preserve"> You should create new Function sheet before creating the link</t>
    </r>
  </si>
  <si>
    <r>
      <rPr>
        <sz val="10"/>
        <rFont val="Tahoma"/>
        <charset val="134"/>
      </rPr>
      <t xml:space="preserve"> - </t>
    </r>
    <r>
      <rPr>
        <b/>
        <sz val="10"/>
        <rFont val="Tahoma"/>
        <charset val="134"/>
      </rPr>
      <t>Test Report</t>
    </r>
    <r>
      <rPr>
        <sz val="10"/>
        <rFont val="Tahoma"/>
        <charset val="134"/>
      </rPr>
      <t>: provive the overview results of Functions Unit test: Test coverage, Test successful coverage 
    (Summary, for normal/abnormal/boundary cases)</t>
    </r>
  </si>
  <si>
    <t xml:space="preserve">     Note:  Should check the formula of "Sub Total" if you add more functions</t>
  </si>
  <si>
    <t>2. Content in Test function sheet</t>
  </si>
  <si>
    <t>2.1 Combination of test cases.</t>
  </si>
  <si>
    <t xml:space="preserve"> - To verify that number of Unit TC meets customer's requirement or not. User has to fill number LOC of tested function and fill value of 'Normal number test cases/KLOC' item in FunctionList sheet, which is required by customer or normal value. The number of lacked TC is shown in 'Lack of test cases' item.</t>
  </si>
  <si>
    <t xml:space="preserve"> - If the number of Unit TC does not meet the requirement, creator should explain the reasons.</t>
  </si>
  <si>
    <t xml:space="preserve"> - If the number of  'Normal number test cases/KLOC' item in FunctionList sheet is not recorded, the number in 'Lack of test cases' is not calculated.</t>
  </si>
  <si>
    <t xml:space="preserve"> 2.2 Condition and confirmation of Test cases.</t>
  </si>
  <si>
    <t xml:space="preserve"> Each test case is the combination of condition and confirmation.</t>
  </si>
  <si>
    <t>a. Condition:</t>
  </si>
  <si>
    <t xml:space="preserve">        - Condition is combination of precondition and values of inputs.</t>
  </si>
  <si>
    <t xml:space="preserve">        - Precondition: it is setting condition that must exist before execution of the test case. 
                    Example: file A is precondition for the test case that needs to access file A.</t>
  </si>
  <si>
    <t xml:space="preserve">        - Values of inputs: it includes 3 types of values: normal, boundary and abnormal.</t>
  </si>
  <si>
    <t xml:space="preserve">                . Normal values are values of inputs used mainly and usually to ensure the function works.</t>
  </si>
  <si>
    <t xml:space="preserve">                . Boundary values are limited values that contain upper and lower values.</t>
  </si>
  <si>
    <t xml:space="preserve">                . Abnormal values are non-expected values. And normally it processes exception cases.   </t>
  </si>
  <si>
    <t xml:space="preserve"> </t>
  </si>
  <si>
    <t xml:space="preserve">        - For examples:</t>
  </si>
  <si>
    <t xml:space="preserve">            Input value belongs to 5&lt;= input &lt;=10.</t>
  </si>
  <si>
    <t xml:space="preserve">               . 6,7,8,9 are normal values.</t>
  </si>
  <si>
    <t xml:space="preserve">               . 5, 10 are boundary values.</t>
  </si>
  <si>
    <t xml:space="preserve">               . -1, 11,... are abnormal values.   </t>
  </si>
  <si>
    <t xml:space="preserve">b. Confirmation: </t>
  </si>
  <si>
    <t xml:space="preserve">        - It is combination of expected result to check output of each function. 
          If the results are the same with confirmation, the test case is passed, other case it is failed. </t>
  </si>
  <si>
    <t xml:space="preserve">        - Confirmation can include:</t>
  </si>
  <si>
    <t xml:space="preserve">                + Output result of the function.</t>
  </si>
  <si>
    <t xml:space="preserve">                + Output log messages in log file.</t>
  </si>
  <si>
    <t xml:space="preserve">                + Output screen message...</t>
  </si>
  <si>
    <t>c. Type of test cases and result:</t>
  </si>
  <si>
    <t xml:space="preserve">        - Type of test case: It includes normal, boundary and abnormal test cases. User selects the type based on the type of input data.</t>
  </si>
  <si>
    <r>
      <rPr>
        <sz val="10"/>
        <rFont val="Tahoma"/>
        <charset val="134"/>
      </rPr>
      <t xml:space="preserve">        - Test case result: the actual output results comparing with the Confirmation.
                 </t>
    </r>
    <r>
      <rPr>
        <b/>
        <sz val="10"/>
        <rFont val="Tahoma"/>
        <charset val="134"/>
      </rPr>
      <t>P</t>
    </r>
    <r>
      <rPr>
        <sz val="10"/>
        <rFont val="Tahoma"/>
        <charset val="134"/>
      </rPr>
      <t xml:space="preserve"> for Passed and </t>
    </r>
    <r>
      <rPr>
        <b/>
        <sz val="10"/>
        <rFont val="Tahoma"/>
        <charset val="134"/>
      </rPr>
      <t>F</t>
    </r>
    <r>
      <rPr>
        <sz val="10"/>
        <rFont val="Tahoma"/>
        <charset val="134"/>
      </rPr>
      <t xml:space="preserve"> for Failed cases.
          It can 'OK' or 'NG' (it depends on habit of the teams or customers)</t>
    </r>
  </si>
  <si>
    <t xml:space="preserve"> 2.3. Other items:</t>
  </si>
  <si>
    <t xml:space="preserve"> - Function Code: it is ID of the function and updated automatically according to FunctionList sheet.</t>
  </si>
  <si>
    <t xml:space="preserve"> - Function Name: it is name  of the function and updated automatically according to FunctionList sheet.</t>
  </si>
  <si>
    <t xml:space="preserve"> - Created By: Name of creator.</t>
  </si>
  <si>
    <t xml:space="preserve"> - Executed By: Name of person who executes the unit test</t>
  </si>
  <si>
    <t xml:space="preserve"> - Lines of code: Number of Code line of the function.</t>
  </si>
  <si>
    <t xml:space="preserve"> - Test requirement: Brief description about requirements which are tested in this function, it is not mandatory.</t>
  </si>
  <si>
    <t xml:space="preserve">         </t>
  </si>
  <si>
    <t>1. Sơ lượt 1. Overview</t>
  </si>
  <si>
    <t xml:space="preserve"> - Trong mẫu, trường hợp kiểm tra đơn vị dựa trên các chức năng. Mỗi tờ trình bày các trường hợp thử nghiệm cho một chức năng.</t>
  </si>
  <si>
    <t xml:space="preserve"> - Bìa: Thông tin chung của dự án và các trường hợp thử nghiệm đơn vị</t>
  </si>
  <si>
    <t xml:space="preserve">- FunctionList: Danh sách các Class và Function trong tài liệu.
     + Để kiểm soát số lượng Đơn vị TC đáp ứng yêu cầu của khách hàng hoặc định mức, người dùng nên điền giá trị cho
     'Số lượng bình thường của các trường hợp thử nghiệm / KLOC'. </t>
  </si>
  <si>
    <t xml:space="preserve">+ Nhấp vào liên kết Chức năng để mở các trường hợp Kiểm tra liên quan của chức năng.
     Lưu ý: Bạn nên tạo Bảng chức năng mới trước khi tạo liên kết </t>
  </si>
  <si>
    <t xml:space="preserve">- Báo cáo thử nghiệm: chứng minh kết quả tổng quan của thử nghiệm Đơn vị chức năng: Phạm vi thử nghiệm, Bảo hiểm thử nghiệm thành công
    (Tóm tắt, đối với trường hợp bình thường / bất thường / ranh giới) </t>
  </si>
  <si>
    <t xml:space="preserve">     Lưu ý: Nên kiểm tra công thức của "Tổng phụ" nếu bạn thêm nhiều chức năng</t>
  </si>
  <si>
    <t>2. Nội dung trong bảng chức năng Kiểm tra</t>
  </si>
  <si>
    <t>2.1 Kết hợp các trường hợp thử nghiệm.  2.1 Combination of test cases.</t>
  </si>
  <si>
    <t xml:space="preserve"> - Để xác minh rằng số lượng Đơn vị TC có đáp ứng yêu cầu của khách hàng hay không. Người dùng phải điền số LỘC của hàm được kiểm tra và điền giá trị của 'Trường hợp kiểm tra số bình thường / mục KLOC' trong bảng FunctionList, được yêu cầu bởi khách hàng hoặc giá trị bình thường. Số lượng TC thiếu được hiển thị trong mục 'Thiếu trường hợp kiểm tra'.</t>
  </si>
  <si>
    <t xml:space="preserve"> - Nếu số lượng Đơn vị TC không đáp ứng yêu cầu, người tạo nên giải thích lý do.</t>
  </si>
  <si>
    <t xml:space="preserve"> - Nếu số lượng 'Các trường hợp kiểm tra số bình thường / mục KLOC' trong bảng FunctionList không được ghi lại, thì số trong 'Thiếu các trường hợp kiểm tra' sẽ không được tính.</t>
  </si>
  <si>
    <t xml:space="preserve"> 2.2 Điều kiện và xác nhận các trường hợp thử nghiệm.  2.2 Condition and confirmation of Test cases.</t>
  </si>
  <si>
    <t xml:space="preserve"> Mỗi trường hợp thử nghiệm là sự kết hợp của điều kiện và xác nhận.</t>
  </si>
  <si>
    <t xml:space="preserve">        - Điều kiện là sự kết hợp của điều kiện tiên quyết và giá trị của đầu vào.</t>
  </si>
  <si>
    <t xml:space="preserve">- Điều kiện tiên quyết: đó là điều kiện thiết lập phải tồn tại trước khi thực hiện trường hợp thử nghiệm.
                    Ví dụ: tệp A là điều kiện tiên quyết cho trường hợp thử nghiệm cần truy cập tệp A. </t>
  </si>
  <si>
    <t xml:space="preserve">        - Giá trị của đầu vào: nó bao gồm 3 loại giá trị: bình thường, ranh giới và bất thường.</t>
  </si>
  <si>
    <t xml:space="preserve">                . Giá trị bình thường là giá trị của đầu vào được sử dụng chủ yếu và thường để đảm bảo chức năng hoạt động.</t>
  </si>
  <si>
    <t xml:space="preserve">                . Giá trị biên là giá trị giới hạn chứa giá trị trên và dưới.</t>
  </si>
  <si>
    <t xml:space="preserve">                . Giá trị bất thường là giá trị không mong đợi. Và thông thường nó xử lý các trường hợp ngoại lệ.</t>
  </si>
  <si>
    <t xml:space="preserve">        - Ví dụ như:</t>
  </si>
  <si>
    <t xml:space="preserve">            Giá trị đầu vào thuộc về 5 &lt;= đầu vào &lt;= 10.</t>
  </si>
  <si>
    <t xml:space="preserve">               . 6,7,8,9 là giá trị bình thường.</t>
  </si>
  <si>
    <t xml:space="preserve">               . 5, 10 là các giá trị biên.</t>
  </si>
  <si>
    <t xml:space="preserve">               . -1, 11, ... là các giá trị bất thường.</t>
  </si>
  <si>
    <t>b. Xác nhận:</t>
  </si>
  <si>
    <t xml:space="preserve">- Đó là sự kết hợp của kết quả dự kiến ​​để kiểm tra đầu ra của từng chức năng.
          Nếu kết quả giống với xác nhận, trường hợp thử nghiệm được thông qua, trường hợp khác không thành công. </t>
  </si>
  <si>
    <t xml:space="preserve">        - Xác nhận có thể bao gồm:</t>
  </si>
  <si>
    <t xml:space="preserve">                + Kết quả đầu ra của hàm.</t>
  </si>
  <si>
    <t xml:space="preserve">                + Thông điệp nhật ký đầu ra trong tệp nhật ký.</t>
  </si>
  <si>
    <t xml:space="preserve">                + Thông báo màn hình đầu ra ...</t>
  </si>
  <si>
    <t>c. Loại trường hợp kiểm tra và kết quả:</t>
  </si>
  <si>
    <t xml:space="preserve">        - Loại trường hợp kiểm tra: Nó bao gồm các trường hợp kiểm tra bình thường, ranh giới và bất thường. Người dùng chọn loại dựa trên loại dữ liệu đầu vào.</t>
  </si>
  <si>
    <t xml:space="preserve">- Kết quả trường hợp thử nghiệm: kết quả đầu ra thực tế so với Xác nhận.
                 P cho Passed và F cho các trường hợp thất bại.
          Nó có thể 'OK' hoặc 'NG' (tùy thuộc vào thói quen của các đội hoặc khách hàng) </t>
  </si>
  <si>
    <t xml:space="preserve"> 2.3. Các mặt hàng khác:</t>
  </si>
  <si>
    <t xml:space="preserve"> - Mã chức năng: đó là ID của chức năng và được cập nhật tự động theo bảng FunctionList.</t>
  </si>
  <si>
    <t xml:space="preserve"> - Tên hàm: nó là tên của hàm và được cập nhật tự động theo bảng FunctionList.</t>
  </si>
  <si>
    <t xml:space="preserve"> - Tạo bởi: Tên của người sáng tạo.</t>
  </si>
  <si>
    <t xml:space="preserve"> - Được thực hiện bởi: Tên của người thực hiện bài kiểm tra đơn vị</t>
  </si>
  <si>
    <t xml:space="preserve"> - Dòng mã: Số dòng Mã của hàm.</t>
  </si>
  <si>
    <t xml:space="preserve"> - Yêu cầu kiểm tra: Mô tả ngắn gọn về các yêu cầu được kiểm tra trong chức năng này, nó không bắt buộc.</t>
  </si>
  <si>
    <t>UNIT TEST CASE</t>
  </si>
  <si>
    <t>Project Name</t>
  </si>
  <si>
    <t>SmartOTT</t>
  </si>
  <si>
    <t>Creator</t>
  </si>
  <si>
    <t>Nhóm 10: Phạm Như Ý, Nguyễn Danh Minh Toàn, Trần Quốc Đảm</t>
  </si>
  <si>
    <t>Project Code</t>
  </si>
  <si>
    <t>Module01</t>
  </si>
  <si>
    <t>Reviewer/Approver</t>
  </si>
  <si>
    <t>Tester: Phạm Như Ý</t>
  </si>
  <si>
    <t>Document Code</t>
  </si>
  <si>
    <t>Issue Date</t>
  </si>
  <si>
    <t>30/11/2020</t>
  </si>
  <si>
    <t>Version</t>
  </si>
  <si>
    <t>Record of change</t>
  </si>
  <si>
    <t>Effective Date</t>
  </si>
  <si>
    <t>Change Item</t>
  </si>
  <si>
    <t>*A,D,M</t>
  </si>
  <si>
    <t>Change description</t>
  </si>
  <si>
    <t>Reference</t>
  </si>
  <si>
    <t>0.1</t>
  </si>
  <si>
    <t>A</t>
  </si>
  <si>
    <t>Create new unit test</t>
  </si>
  <si>
    <t>&lt;List of documents which are refered in this version.&gt;</t>
  </si>
  <si>
    <t>18/12/2020</t>
  </si>
  <si>
    <t>1.0</t>
  </si>
  <si>
    <t>execute unit test</t>
  </si>
  <si>
    <t>UNIT TEST CASE LIST</t>
  </si>
  <si>
    <t xml:space="preserve">Normal number of Test cases/KLOC </t>
  </si>
  <si>
    <t>Test Environment Setup Description</t>
  </si>
  <si>
    <t>Sử dụng kết nối mạng
1. Server
2. Database
3. Web Browser
...
&gt;</t>
  </si>
  <si>
    <t>No</t>
  </si>
  <si>
    <t>Requirement
Name</t>
  </si>
  <si>
    <t>Class Name</t>
  </si>
  <si>
    <t>Function Name</t>
  </si>
  <si>
    <t xml:space="preserve"> Function Code(Optional)</t>
  </si>
  <si>
    <t>Sheet Name</t>
  </si>
  <si>
    <t>Description</t>
  </si>
  <si>
    <t>Pre-Condition</t>
  </si>
  <si>
    <t>Kiểm chứng đăng nhập, đăng xuất và bảo vệ route</t>
  </si>
  <si>
    <t>Auth</t>
  </si>
  <si>
    <t>Login/Logout</t>
  </si>
  <si>
    <t>AUTH</t>
  </si>
  <si>
    <t>UT Lab 1</t>
  </si>
  <si>
    <t>Nguyễn Danh Minh Toàn</t>
  </si>
  <si>
    <t>BE, FE, DB chạy; tài khoản user: nhuy02042003@gmail.com / 123456; tài khoản admin/page admin: mon02050703@gmail.com / 123456</t>
  </si>
  <si>
    <t>Kiểm chứng đăng ký tài khoản bằng email và OTP</t>
  </si>
  <si>
    <t>Register OTP</t>
  </si>
  <si>
    <t>REG</t>
  </si>
  <si>
    <t>UT Lab 2</t>
  </si>
  <si>
    <t>Phạm Như Ý</t>
  </si>
  <si>
    <t>Email đăng ký mới chưa tồn tại: monne0205@gmail.com; OTP được gửi qua email</t>
  </si>
  <si>
    <t>Kiểm chứng quên mật khẩu và đổi mật khẩu</t>
  </si>
  <si>
    <t>Forgot/Reset Password</t>
  </si>
  <si>
    <t>PASS</t>
  </si>
  <si>
    <t>UT Lab 3</t>
  </si>
  <si>
    <t>Email test tồn tại; mật khẩu mặc định 123456</t>
  </si>
  <si>
    <t>Kiểm chứng quản lý thông tin cá nhân, avatar, cover</t>
  </si>
  <si>
    <t>User</t>
  </si>
  <si>
    <t>Profile Management</t>
  </si>
  <si>
    <t>PROFILE</t>
  </si>
  <si>
    <t>UT Lab 4</t>
  </si>
  <si>
    <t>Đã đăng nhập user</t>
  </si>
  <si>
    <t>Kiểm chứng tìm kiếm bạn bè, gửi/duyệt/hủy kết bạn</t>
  </si>
  <si>
    <t>Friend</t>
  </si>
  <si>
    <t>Friend Management</t>
  </si>
  <si>
    <t>FRIEND</t>
  </si>
  <si>
    <t>UT Lab 5</t>
  </si>
  <si>
    <t>Ít nhất 2 tài khoản test</t>
  </si>
  <si>
    <t>Kiểm chứng chat 1-1 realtime, unread, edit, delete, reaction, reply</t>
  </si>
  <si>
    <t>Chat</t>
  </si>
  <si>
    <t>Private Chat</t>
  </si>
  <si>
    <t>CHAT</t>
  </si>
  <si>
    <t>UT Lab 6</t>
  </si>
  <si>
    <t>Trần Quốc Đảm</t>
  </si>
  <si>
    <t>Hai tài khoản đã là bạn</t>
  </si>
  <si>
    <t>Kiểm chứng chat nhóm: tạo nhóm, thêm/xóa thành viên, giải tán nhóm</t>
  </si>
  <si>
    <t>Group Chat</t>
  </si>
  <si>
    <t>GROUP</t>
  </si>
  <si>
    <t>UT Lab 7</t>
  </si>
  <si>
    <t>3 tài khoản test</t>
  </si>
  <si>
    <t>Kiểm chứng gửi file, ảnh, video, tải xuống, chuyển tiếp tin nhắn</t>
  </si>
  <si>
    <t>Upload/Chat</t>
  </si>
  <si>
    <t>File &amp; Forward</t>
  </si>
  <si>
    <t>FILE</t>
  </si>
  <si>
    <t>UT Lab 8</t>
  </si>
  <si>
    <t>S3/presigned URL hoạt động</t>
  </si>
  <si>
    <t>Kiểm chứng gọi audio/video bằng WebRTC/socket</t>
  </si>
  <si>
    <t>Call</t>
  </si>
  <si>
    <t>Audio/Video Call</t>
  </si>
  <si>
    <t>CALL</t>
  </si>
  <si>
    <t>UT Lab 9</t>
  </si>
  <si>
    <t>Cả nhóm</t>
  </si>
  <si>
    <t>2-3 trình duyệt hoặc máy khác nhau</t>
  </si>
  <si>
    <t>Kiểm chứng Chat AI dịch vụ công, session, fallback khi Gemini lỗi</t>
  </si>
  <si>
    <t>AI</t>
  </si>
  <si>
    <t>Public Service AI</t>
  </si>
  <si>
    <t>UT Lab10</t>
  </si>
  <si>
    <t>GEMINI_API_KEY hoặc fallback BE</t>
  </si>
  <si>
    <t>Kiểm chứng admin: dashboard, user, group, thống kê, khóa/xóa</t>
  </si>
  <si>
    <t>Admin</t>
  </si>
  <si>
    <t>Admin Management</t>
  </si>
  <si>
    <t>ADMIN</t>
  </si>
  <si>
    <t>UT Lab11</t>
  </si>
  <si>
    <t>Đăng nhập admin/page admin: mon02050703@gmail.com / 123456</t>
  </si>
  <si>
    <t>UNIT TEST REPORT</t>
  </si>
  <si>
    <t>Notes</t>
  </si>
  <si>
    <t>Release 1 includes : 7 use case , release 2 includes : 11 use case</t>
  </si>
  <si>
    <t>Function code</t>
  </si>
  <si>
    <t>Passed</t>
  </si>
  <si>
    <t>Failed</t>
  </si>
  <si>
    <t>Untested</t>
  </si>
  <si>
    <t>N</t>
  </si>
  <si>
    <t>B</t>
  </si>
  <si>
    <t>Total Test Cases</t>
  </si>
  <si>
    <t>Sub total</t>
  </si>
  <si>
    <t>Test coverage</t>
  </si>
  <si>
    <t>%</t>
  </si>
  <si>
    <t>Test successful coverage</t>
  </si>
  <si>
    <t>Normal case</t>
  </si>
  <si>
    <t>Abnormal case</t>
  </si>
  <si>
    <t>Boundary case</t>
  </si>
  <si>
    <t>Function Code</t>
  </si>
  <si>
    <t>Created By</t>
  </si>
  <si>
    <t>Nhóm 10</t>
  </si>
  <si>
    <t>Executed By</t>
  </si>
  <si>
    <t>Lines  of code</t>
  </si>
  <si>
    <t>Lack of test cases</t>
  </si>
  <si>
    <t>Test requirement</t>
  </si>
  <si>
    <t>Kiểm chứng đăng nhập, đăng xuất, token và route bảo vệ</t>
  </si>
  <si>
    <t>N/A/B</t>
  </si>
  <si>
    <t>UTCID01</t>
  </si>
  <si>
    <t>UTCID02</t>
  </si>
  <si>
    <t>UTCID03</t>
  </si>
  <si>
    <t>UTCID04</t>
  </si>
  <si>
    <t>UTCID05</t>
  </si>
  <si>
    <t>UTCID06</t>
  </si>
  <si>
    <t>UTCID07</t>
  </si>
  <si>
    <t>UTCID08</t>
  </si>
  <si>
    <t>UTCID09</t>
  </si>
  <si>
    <t>Condition</t>
  </si>
  <si>
    <t xml:space="preserve">Precondition </t>
  </si>
  <si>
    <t>Đăng nhập</t>
  </si>
  <si>
    <t>Input</t>
  </si>
  <si>
    <t>Email</t>
  </si>
  <si>
    <t>""</t>
  </si>
  <si>
    <t>O</t>
  </si>
  <si>
    <t>abc@</t>
  </si>
  <si>
    <t>emailkhonghople</t>
  </si>
  <si>
    <t>nhuy02042003@gmail</t>
  </si>
  <si>
    <t>notfound@example.com</t>
  </si>
  <si>
    <t>linhMatL@gmail</t>
  </si>
  <si>
    <t>linhMatL@gmail@com</t>
  </si>
  <si>
    <t>mon02050703@gmail.com</t>
  </si>
  <si>
    <t>nhuy02042003@gmail.com</t>
  </si>
  <si>
    <t>Mật khẩu</t>
  </si>
  <si>
    <t>3333333333333333333333333</t>
  </si>
  <si>
    <t>123978</t>
  </si>
  <si>
    <t>12345#</t>
  </si>
  <si>
    <t>123456</t>
  </si>
  <si>
    <t>Confirm</t>
  </si>
  <si>
    <t>Return</t>
  </si>
  <si>
    <t>success</t>
  </si>
  <si>
    <t>fail</t>
  </si>
  <si>
    <t>Exception</t>
  </si>
  <si>
    <t>Log message</t>
  </si>
  <si>
    <t>Email là bắt buộc</t>
  </si>
  <si>
    <t>mật khẩu không được chứa kí tự đặc biệt</t>
  </si>
  <si>
    <t>mật khẩu là bắt buộc</t>
  </si>
  <si>
    <t>Thông tin đăng nhập không chính xác</t>
  </si>
  <si>
    <t>Result</t>
  </si>
  <si>
    <t>Type(N : Normal, A : Abnormal, B : Boundary)</t>
  </si>
  <si>
    <t>Passed/Failed</t>
  </si>
  <si>
    <t>P</t>
  </si>
  <si>
    <t>Executed Date</t>
  </si>
  <si>
    <t>Defect ID</t>
  </si>
  <si>
    <t>REGISTER</t>
  </si>
  <si>
    <t>Kiểm chứng đăng ký tài khoản, OTP, validate email/mật khẩu</t>
  </si>
  <si>
    <t>aaaaaaaaaaaaf</t>
  </si>
  <si>
    <t>023</t>
  </si>
  <si>
    <t>monne0205gmail.com</t>
  </si>
  <si>
    <t>monne0205@gmail</t>
  </si>
  <si>
    <t>monne0205@gmail.com</t>
  </si>
  <si>
    <t>Email hợp lệ đăng ký thành công</t>
  </si>
  <si>
    <t>Email không hợp lệ hoặc email đã tồn tại</t>
  </si>
  <si>
    <t>Mã OTP xác thực sẽ được gửi đến email</t>
  </si>
  <si>
    <t>F</t>
  </si>
  <si>
    <t>PASSWORD</t>
  </si>
  <si>
    <t>Kiểm chứng quên mật khẩu, reset mật khẩu và lỗi token</t>
  </si>
  <si>
    <t>input</t>
  </si>
  <si>
    <t>TRUE</t>
  </si>
  <si>
    <t>Đã xóa người dùng</t>
  </si>
  <si>
    <t>Lỗi không tiếp cận được server</t>
  </si>
  <si>
    <t>Lỗi đường truyền</t>
  </si>
  <si>
    <t>Xóa không thành công</t>
  </si>
  <si>
    <t>Kiểm chứng xem/cập nhật hồ sơ, avatar và đổi mật khẩu</t>
  </si>
  <si>
    <t>Đã khóa người dùng</t>
  </si>
  <si>
    <t>Khóa không thành công</t>
  </si>
  <si>
    <t>Kiểm chứng tìm kiếm bạn bè, gửi/chấp nhận/từ chối/xóa lời mời</t>
  </si>
  <si>
    <t>Đã mở khóa người dùng</t>
  </si>
  <si>
    <t>Mở khóa không thành công</t>
  </si>
  <si>
    <t>CHAT_PRIVATE</t>
  </si>
  <si>
    <t>Kiểm chứng nhắn tin 1-1, tạo conversation, realtime socket và trạng thái tin nhắn</t>
  </si>
  <si>
    <t>UTCID10</t>
  </si>
  <si>
    <t>Môi trường test: BE http://localhost:3000, FE Vite, MongoDB, Socket.IO. Tài khoản user: nhuy02042003@gmail.com / 123456; tài khoản admin/page admin: mon02050703@gmail.com / 123456.</t>
  </si>
  <si>
    <t>số điện thoại chỉ chứa kí tự 1 "+" ở đầu và lớn hơn 9 số</t>
  </si>
  <si>
    <t>đúng định dạng email</t>
  </si>
  <si>
    <t>chọn ngày sinh và không được vượt quá thời điểm hiện tại</t>
  </si>
  <si>
    <t xml:space="preserve">Chỉ được chọn giới tính là nam hoặc nữ </t>
  </si>
  <si>
    <t>Họ tên</t>
  </si>
  <si>
    <t>%%!</t>
  </si>
  <si>
    <t>5465465</t>
  </si>
  <si>
    <t>trump</t>
  </si>
  <si>
    <t>Nguyễn văn A</t>
  </si>
  <si>
    <t>Cat Moiiiiiiiiiiiiiiiiiiiiiiiiiiiiiiiiiiiiiiiiiiiiiiiiiiiiiiiiiiiiiiiiiii</t>
  </si>
  <si>
    <t>linhMatL@gmail.com</t>
  </si>
  <si>
    <t>0946581522</t>
  </si>
  <si>
    <t>Trần văn an</t>
  </si>
  <si>
    <t>Số điện thoại</t>
  </si>
  <si>
    <t>%%$$</t>
  </si>
  <si>
    <t>123456798</t>
  </si>
  <si>
    <t>++0123456798</t>
  </si>
  <si>
    <t>+0123456789</t>
  </si>
  <si>
    <t>nggf</t>
  </si>
  <si>
    <t>09465812ngj</t>
  </si>
  <si>
    <t>09465+42136</t>
  </si>
  <si>
    <t>0946824555</t>
  </si>
  <si>
    <t>email</t>
  </si>
  <si>
    <t>@gmail.com</t>
  </si>
  <si>
    <t>Test$$@gmail.com</t>
  </si>
  <si>
    <t>tesst@iuh</t>
  </si>
  <si>
    <t>12354@iuh.com.vn</t>
  </si>
  <si>
    <t>anhminh@gmail.com</t>
  </si>
  <si>
    <t>mothai@123.123</t>
  </si>
  <si>
    <t>ThanhTin@123.com</t>
  </si>
  <si>
    <t>ThuHa3231@yahoo.com</t>
  </si>
  <si>
    <t>Tuoiti@gmail.com</t>
  </si>
  <si>
    <t>năm sinh</t>
  </si>
  <si>
    <t>01011999</t>
  </si>
  <si>
    <t>01/xx/1699</t>
  </si>
  <si>
    <t>01/01/2022</t>
  </si>
  <si>
    <t>01-05-2004</t>
  </si>
  <si>
    <t>mothai</t>
  </si>
  <si>
    <t>01/02/1999</t>
  </si>
  <si>
    <t>1999/01/13</t>
  </si>
  <si>
    <t>1999-21-01</t>
  </si>
  <si>
    <t>01/12/1999</t>
  </si>
  <si>
    <t>giới tính</t>
  </si>
  <si>
    <t>121212</t>
  </si>
  <si>
    <t>aTest31</t>
  </si>
  <si>
    <t>nam</t>
  </si>
  <si>
    <t>nữ</t>
  </si>
  <si>
    <t>Nam</t>
  </si>
  <si>
    <t>Nhập đầy đủ họ tên</t>
  </si>
  <si>
    <t>Họ tên không được chứa số hoặc kí tự đặc biệt</t>
  </si>
  <si>
    <t>Họ tên success</t>
  </si>
  <si>
    <t>Nhập số điện thoại</t>
  </si>
  <si>
    <t>Sai định dạng số điện thoại</t>
  </si>
  <si>
    <t>Số điện thoại success</t>
  </si>
  <si>
    <t>Nhập địa chỉ email</t>
  </si>
  <si>
    <t>Sai định dạng email</t>
  </si>
  <si>
    <t>email success</t>
  </si>
  <si>
    <t>Sai định dạng năm sinh</t>
  </si>
  <si>
    <t>Nhập năm sinh</t>
  </si>
  <si>
    <t>năm sinh success</t>
  </si>
  <si>
    <t>sai định dạng giới tính</t>
  </si>
  <si>
    <t>giới tính success</t>
  </si>
  <si>
    <t>Thêm thành công</t>
  </si>
  <si>
    <t>Thêm không thành công</t>
  </si>
  <si>
    <t>Không thể chọn thêm</t>
  </si>
  <si>
    <t>CHAT_GROUP</t>
  </si>
  <si>
    <t>Kiểm chứng tạo nhóm, thêm/rời/xóa thành viên, nhắn tin nhóm và quyền nhóm</t>
  </si>
  <si>
    <t>UTCID11</t>
  </si>
  <si>
    <t>UTCID12</t>
  </si>
  <si>
    <t>UTCID13</t>
  </si>
  <si>
    <t>Thanh tìm kiếm</t>
  </si>
  <si>
    <t>01</t>
  </si>
  <si>
    <t>a</t>
  </si>
  <si>
    <t>013546798?</t>
  </si>
  <si>
    <t>0123456789</t>
  </si>
  <si>
    <t>@</t>
  </si>
  <si>
    <t>0946581524</t>
  </si>
  <si>
    <t>Nguyễn</t>
  </si>
  <si>
    <t>NG555555555555555555555555555555555555555555555555551111111111111</t>
  </si>
  <si>
    <t>True</t>
  </si>
  <si>
    <t>Không tìm thấy</t>
  </si>
  <si>
    <t>Trả về danh sách giá trị</t>
  </si>
  <si>
    <t>Trả về được một giá trị</t>
  </si>
  <si>
    <t>Danh sách người dùng</t>
  </si>
  <si>
    <t>Một người dùng</t>
  </si>
  <si>
    <t>FILE_FORWARD</t>
  </si>
  <si>
    <t>Kiểm chứng gửi file/hình ảnh và chuyển tiếp tin nhắn/file</t>
  </si>
  <si>
    <t>monne0205@gmail .com</t>
  </si>
  <si>
    <t>mật khẩu</t>
  </si>
  <si>
    <t>123</t>
  </si>
  <si>
    <t>nhuy123</t>
  </si>
  <si>
    <t>admin</t>
  </si>
  <si>
    <t>bien@123</t>
  </si>
  <si>
    <t>Đăng kí thành công</t>
  </si>
  <si>
    <t>Email không đúng định dạng</t>
  </si>
  <si>
    <t xml:space="preserve">Mật khẩu quá ngắn </t>
  </si>
  <si>
    <t>Mật khẩu không được chứa kí tự đặc biệt</t>
  </si>
  <si>
    <t>Kiểm chứng gọi audio/video 1-1, group call, accept/reject/end và TURN/STUN</t>
  </si>
  <si>
    <t>key</t>
  </si>
  <si>
    <t xml:space="preserve">key of a user </t>
  </si>
  <si>
    <t>oldPassword</t>
  </si>
  <si>
    <t>049122</t>
  </si>
  <si>
    <t>aa@ff</t>
  </si>
  <si>
    <t>0156</t>
  </si>
  <si>
    <t>newPassword</t>
  </si>
  <si>
    <t>Đổi mật khẩu thành công</t>
  </si>
  <si>
    <t>hãy nhập mật khẩu cũ</t>
  </si>
  <si>
    <t>hãy nhập mật khẩu mới</t>
  </si>
  <si>
    <t>Mật khẩu mới không được trùng mật khẩu cũ</t>
  </si>
  <si>
    <t>AI_CHAT</t>
  </si>
  <si>
    <t>Kiểm chứng Chat AI dịch vụ công, xử lý câu hỏi ngắn, lỗi Gemini và fallback</t>
  </si>
  <si>
    <t>null</t>
  </si>
  <si>
    <t>Output</t>
  </si>
  <si>
    <t>Password = "123456"</t>
  </si>
  <si>
    <t>Password = oldPassword</t>
  </si>
  <si>
    <t>đường truyền bị gián đoạn</t>
  </si>
  <si>
    <t>Cập nhật lại mật khẩu thành công</t>
  </si>
  <si>
    <t>không lấy được thông tin người dùng</t>
  </si>
  <si>
    <t>Kiểm chứng admin dashboard, quản lý user, group, thống kê, khóa/xóa</t>
  </si>
  <si>
    <t>key of a UserAccount (ID)</t>
  </si>
  <si>
    <t>Gender</t>
  </si>
  <si>
    <t>is only male or female</t>
  </si>
  <si>
    <t>name</t>
  </si>
  <si>
    <t>NhuY123</t>
  </si>
  <si>
    <t>link img</t>
  </si>
  <si>
    <t>a1.png</t>
  </si>
  <si>
    <t>a2.png</t>
  </si>
  <si>
    <t>a3.png</t>
  </si>
  <si>
    <t>a4.png</t>
  </si>
  <si>
    <t>a5.png</t>
  </si>
  <si>
    <t>a1.pnr</t>
  </si>
  <si>
    <t>date birth</t>
  </si>
  <si>
    <t>17/12/2020</t>
  </si>
  <si>
    <t>17/11/2019</t>
  </si>
  <si>
    <t>07/10/1999</t>
  </si>
  <si>
    <t>15/1/1999</t>
  </si>
  <si>
    <t>Ảnh bị sai định đạng</t>
  </si>
  <si>
    <t>Cập nhật thông tin thành công</t>
  </si>
  <si>
    <t>Không được để trống tên người dùng</t>
  </si>
  <si>
    <t>Tên người dùng không được sử dụng kí tự đặc biệt hoặc chứ số</t>
  </si>
  <si>
    <t>Người dùng không đủ 18 tuổi</t>
  </si>
  <si>
    <t>TC ID</t>
  </si>
  <si>
    <t>Module</t>
  </si>
  <si>
    <t>Feature</t>
  </si>
  <si>
    <t>Test case</t>
  </si>
  <si>
    <t>Type</t>
  </si>
  <si>
    <t>Priority</t>
  </si>
  <si>
    <t>Precondition</t>
  </si>
  <si>
    <t>Test data</t>
  </si>
  <si>
    <t>Steps</t>
  </si>
  <si>
    <t>Expected result</t>
  </si>
  <si>
    <t>Tester</t>
  </si>
  <si>
    <t>Execution</t>
  </si>
  <si>
    <t>Status</t>
  </si>
  <si>
    <t>Note</t>
  </si>
  <si>
    <t>AUTH-001</t>
  </si>
  <si>
    <t>Authentication</t>
  </si>
  <si>
    <t>Login</t>
  </si>
  <si>
    <t>Dang nhap thanh cong bang email hop le</t>
  </si>
  <si>
    <t>Normal</t>
  </si>
  <si>
    <t>High</t>
  </si>
  <si>
    <t>BE va DB dang chay, tai khoan ton tai</t>
  </si>
  <si>
    <t>nhuy02042003@gmail.com / 123456</t>
  </si>
  <si>
    <t>1. Mo trang login; 2. Nhap email va mat khau; 3. Bam Dang nhap</t>
  </si>
  <si>
    <t>Dang nhap thanh cong, vao trang chat, token duoc luu</t>
  </si>
  <si>
    <t>Pham Nhu Y</t>
  </si>
  <si>
    <t>Individual</t>
  </si>
  <si>
    <t>Not Run</t>
  </si>
  <si>
    <t>AUTH-002</t>
  </si>
  <si>
    <t>Dang nhap thanh cong bang tai khoan thu hai</t>
  </si>
  <si>
    <t>Tai khoan ton tai</t>
  </si>
  <si>
    <t>1. Nhap thong tin; 2. Bam Dang nhap</t>
  </si>
  <si>
    <t>Dang nhap thanh cong va hien thi dung thong tin user</t>
  </si>
  <si>
    <t>AUTH-003</t>
  </si>
  <si>
    <t>Dang nhap bang tai khoan admin/page admin</t>
  </si>
  <si>
    <t>mon02050703@gmail.com / 123456</t>
  </si>
  <si>
    <t>Dang nhap thanh cong, co quyen truy cap trang admin</t>
  </si>
  <si>
    <t>Email da chuan hoa bo khoang trang</t>
  </si>
  <si>
    <t>AUTH-004</t>
  </si>
  <si>
    <t>Sai mat khau</t>
  </si>
  <si>
    <t>Abnormal</t>
  </si>
  <si>
    <t>nhuy02042003@gmail.com / 1234567</t>
  </si>
  <si>
    <t>1. Nhap sai password; 2. Bam Dang nhap</t>
  </si>
  <si>
    <t>Thong bao loi, khong tao session</t>
  </si>
  <si>
    <t>AUTH-005</t>
  </si>
  <si>
    <t>Email khong ton tai</t>
  </si>
  <si>
    <t>Medium</t>
  </si>
  <si>
    <t>Khong co user trong DB</t>
  </si>
  <si>
    <t>notfound@example.com / 123456</t>
  </si>
  <si>
    <t>1. Nhap email la; 2. Bam Dang nhap</t>
  </si>
  <si>
    <t>Thong bao email hoac mat khau khong dung</t>
  </si>
  <si>
    <t>AUTH-006</t>
  </si>
  <si>
    <t>Bo trong email</t>
  </si>
  <si>
    <t>Boundary</t>
  </si>
  <si>
    <t>Trang login san sang</t>
  </si>
  <si>
    <t>(blank) / 123456</t>
  </si>
  <si>
    <t>1. De trong email; 2. Bam Dang nhap</t>
  </si>
  <si>
    <t>Validate bat buoc nhap email</t>
  </si>
  <si>
    <t>AUTH-007</t>
  </si>
  <si>
    <t>Bo trong password</t>
  </si>
  <si>
    <t>nhuy02042003@gmail.com / blank</t>
  </si>
  <si>
    <t>1. De trong mat khau; 2. Bam Dang nhap</t>
  </si>
  <si>
    <t>Validate bat buoc nhap mat khau</t>
  </si>
  <si>
    <t>AUTH-008</t>
  </si>
  <si>
    <t>Logout</t>
  </si>
  <si>
    <t>Dang xuat</t>
  </si>
  <si>
    <t>Da dang nhap</t>
  </si>
  <si>
    <t>Tai khoan bat ky</t>
  </si>
  <si>
    <t>1. Bam dang xuat</t>
  </si>
  <si>
    <t>Token bi xoa, ve trang login</t>
  </si>
  <si>
    <t>REG-001</t>
  </si>
  <si>
    <t>Register</t>
  </si>
  <si>
    <t>Send OTP</t>
  </si>
  <si>
    <t>Gui OTP dang ky email moi</t>
  </si>
  <si>
    <t>Email chua ton tai</t>
  </si>
  <si>
    <t>1. Nhập email monne0205@gmail.com; 2. Bấm gửi OTP</t>
  </si>
  <si>
    <t>Hệ thống gửi OTP qua email và hiển thị trang nhập OTP</t>
  </si>
  <si>
    <t>REG-002</t>
  </si>
  <si>
    <t>Email sai dinh dang</t>
  </si>
  <si>
    <t>Trang dang ky san sang</t>
  </si>
  <si>
    <t>1. Nhap email sai; 2. Gui OTP</t>
  </si>
  <si>
    <t>Thong bao email khong hop le</t>
  </si>
  <si>
    <t>REG-003</t>
  </si>
  <si>
    <t>Verify OTP</t>
  </si>
  <si>
    <t>Nhap OTP sai</t>
  </si>
  <si>
    <t>Da gui OTP</t>
  </si>
  <si>
    <t>OTP 000000</t>
  </si>
  <si>
    <t>1. Nhap OTP sai; 2. Xac nhan</t>
  </si>
  <si>
    <t>Thong bao OTP khong dung</t>
  </si>
  <si>
    <t>REG-004</t>
  </si>
  <si>
    <t>Dang ky thanh cong</t>
  </si>
  <si>
    <t>Co OTP hop le</t>
  </si>
  <si>
    <t>monne0205@gmail.com, username, password 123456</t>
  </si>
  <si>
    <t>1. Nhap OTP dung; 2. Nhap thong tin; 3. Hoan tat</t>
  </si>
  <si>
    <t>Tạo user mới bằng email monne0205@gmail.com và cho đăng nhập</t>
  </si>
  <si>
    <t>PASS-001</t>
  </si>
  <si>
    <t>Password</t>
  </si>
  <si>
    <t>Forgot password</t>
  </si>
  <si>
    <t>Gui OTP quen mat khau</t>
  </si>
  <si>
    <t>Email ton tai</t>
  </si>
  <si>
    <t>1. Mo quen mat khau; 2. Nhap email</t>
  </si>
  <si>
    <t>Gui OTP reset password</t>
  </si>
  <si>
    <t>PASS-002</t>
  </si>
  <si>
    <t>Email khong co trong DB</t>
  </si>
  <si>
    <t>unknown@test.com</t>
  </si>
  <si>
    <t>1. Nhap email; 2. Gui</t>
  </si>
  <si>
    <t>Thong bao email khong ton tai</t>
  </si>
  <si>
    <t>PASS-003</t>
  </si>
  <si>
    <t>Reset password</t>
  </si>
  <si>
    <t>OTP reset sai</t>
  </si>
  <si>
    <t>OTP sai</t>
  </si>
  <si>
    <t>Thong bao OTP khong hop le</t>
  </si>
  <si>
    <t>PASS-004</t>
  </si>
  <si>
    <t>Update password</t>
  </si>
  <si>
    <t>Doi mat khau trong profile sai mat khau cu</t>
  </si>
  <si>
    <t>Old wrong, New 123456</t>
  </si>
  <si>
    <t>1. Vao profile; 2. Doi mat khau</t>
  </si>
  <si>
    <t>Thong bao mat khau hien tai khong dung</t>
  </si>
  <si>
    <t>PROFILE-001</t>
  </si>
  <si>
    <t>Profile</t>
  </si>
  <si>
    <t>View profile</t>
  </si>
  <si>
    <t>Xem thong tin ca nhan</t>
  </si>
  <si>
    <t>1. Bam avatar profile</t>
  </si>
  <si>
    <t>Hien username, email, fullName, phone, bio</t>
  </si>
  <si>
    <t>PROFILE-002</t>
  </si>
  <si>
    <t>Update profile</t>
  </si>
  <si>
    <t>Cap nhat fullName hop le</t>
  </si>
  <si>
    <t>FullName moi</t>
  </si>
  <si>
    <t>1. Sua fullName; 2. Luu</t>
  </si>
  <si>
    <t>Thong tin duoc cap nhat va reload dung</t>
  </si>
  <si>
    <t>PROFILE-003</t>
  </si>
  <si>
    <t>So dien thoai sai dinh dang</t>
  </si>
  <si>
    <t>abc123</t>
  </si>
  <si>
    <t>1. Sua phone sai; 2. Luu</t>
  </si>
  <si>
    <t>Validate loi so dien thoai</t>
  </si>
  <si>
    <t>PROFILE-004</t>
  </si>
  <si>
    <t>Avatar</t>
  </si>
  <si>
    <t>Cap nhat avatar hop le</t>
  </si>
  <si>
    <t>Low</t>
  </si>
  <si>
    <t>File jpg/png</t>
  </si>
  <si>
    <t>1. Chon avatar; 2. Upload</t>
  </si>
  <si>
    <t>Avatar moi hien tren panel</t>
  </si>
  <si>
    <t>FRIEND-001</t>
  </si>
  <si>
    <t>Search friend</t>
  </si>
  <si>
    <t>Tim ban bang email ton tai</t>
  </si>
  <si>
    <t>1. Mo them ban; 2. Tim email</t>
  </si>
  <si>
    <t>Hien user phu hop</t>
  </si>
  <si>
    <t>FRIEND-002</t>
  </si>
  <si>
    <t>Tim email khong ton tai</t>
  </si>
  <si>
    <t>notfound@test.com</t>
  </si>
  <si>
    <t>1. Tim email</t>
  </si>
  <si>
    <t>Thong bao khong tim thay</t>
  </si>
  <si>
    <t>FRIEND-003</t>
  </si>
  <si>
    <t>Request</t>
  </si>
  <si>
    <t>Gui loi moi ket ban</t>
  </si>
  <si>
    <t>Hai tai khoan chua la ban</t>
  </si>
  <si>
    <t>Account A gui cho B</t>
  </si>
  <si>
    <t>1. A tim B; 2. Gui ket ban</t>
  </si>
  <si>
    <t>B nhan loi moi realtime</t>
  </si>
  <si>
    <t>Group</t>
  </si>
  <si>
    <t>Can 2 tai khoan cung luc</t>
  </si>
  <si>
    <t>FRIEND-004</t>
  </si>
  <si>
    <t>Accept request</t>
  </si>
  <si>
    <t>Chap nhan ket ban</t>
  </si>
  <si>
    <t>B co loi moi tu A</t>
  </si>
  <si>
    <t>A va B</t>
  </si>
  <si>
    <t>1. B vao loi moi; 2. Dong y</t>
  </si>
  <si>
    <t>Ca 2 thanh ban, conversation duoc tao</t>
  </si>
  <si>
    <t>Can 2 tai khoan</t>
  </si>
  <si>
    <t>FRIEND-005</t>
  </si>
  <si>
    <t>Reject request</t>
  </si>
  <si>
    <t>Tu choi ket ban</t>
  </si>
  <si>
    <t>1. B bam tu choi</t>
  </si>
  <si>
    <t>Trang thai request bi reject</t>
  </si>
  <si>
    <t>FRIEND-006</t>
  </si>
  <si>
    <t>Remove friend</t>
  </si>
  <si>
    <t>Huy ket ban nhung giu conversation</t>
  </si>
  <si>
    <t>Hai user da la ban</t>
  </si>
  <si>
    <t>1. A huy ket ban</t>
  </si>
  <si>
    <t>Khong nhan tin moi, lich su conversation van xem duoc</t>
  </si>
  <si>
    <t>Can xac nhan ca hai phia</t>
  </si>
  <si>
    <t>CHAT-001</t>
  </si>
  <si>
    <t>Open conversation</t>
  </si>
  <si>
    <t>Bam ban be de mo chat 1-1</t>
  </si>
  <si>
    <t>Da la ban</t>
  </si>
  <si>
    <t>Friend trong list</t>
  </si>
  <si>
    <t>1. Vao danh sach ban; 2. Bam Nhan tin</t>
  </si>
  <si>
    <t>Box chat mo conversation private dung user</t>
  </si>
  <si>
    <t>CHAT-002</t>
  </si>
  <si>
    <t>Send message</t>
  </si>
  <si>
    <t>Gui tin nhan text 1-1</t>
  </si>
  <si>
    <t>A va B la ban, cung online</t>
  </si>
  <si>
    <t>A: mon..., B: nhuy...</t>
  </si>
  <si>
    <t>1. A gui tin; 2. B quan sat</t>
  </si>
  <si>
    <t>B nhan realtime, sidebar cap nhat last message</t>
  </si>
  <si>
    <t>Can 2 nguoi test</t>
  </si>
  <si>
    <t>CHAT-003</t>
  </si>
  <si>
    <t>Receive unread</t>
  </si>
  <si>
    <t>Tin nhan den conversation chua mo hien badge</t>
  </si>
  <si>
    <t>B dang o conversation khac</t>
  </si>
  <si>
    <t>A gui tin cho B</t>
  </si>
  <si>
    <t>1. A gui; 2. B xem sidebar</t>
  </si>
  <si>
    <t>Badge unread tang dung 1</t>
  </si>
  <si>
    <t>CHAT-004</t>
  </si>
  <si>
    <t>Edit message</t>
  </si>
  <si>
    <t>Sua tin nhan da gui</t>
  </si>
  <si>
    <t>User co tin text cua minh</t>
  </si>
  <si>
    <t>Tin text</t>
  </si>
  <si>
    <t>1. Mo menu; 2. Sua; 3. Luu</t>
  </si>
  <si>
    <t>Noi dung cap nhat, hien da sua</t>
  </si>
  <si>
    <t>CHAT-005</t>
  </si>
  <si>
    <t>Unsend message</t>
  </si>
  <si>
    <t>Thu hoi tin nhan</t>
  </si>
  <si>
    <t>User co tin cua minh</t>
  </si>
  <si>
    <t>1. Mo menu; 2. Thu hoi</t>
  </si>
  <si>
    <t>Tin hien trang thai da thu hoi cho ca 2 ben</t>
  </si>
  <si>
    <t>CHAT-006</t>
  </si>
  <si>
    <t>Delete for me</t>
  </si>
  <si>
    <t>Xoa tin phia toi</t>
  </si>
  <si>
    <t>Co tin trong conversation</t>
  </si>
  <si>
    <t>Tin bat ky</t>
  </si>
  <si>
    <t>1. Chon xoa phia toi</t>
  </si>
  <si>
    <t>Tin an voi user hien tai, user kia van thay</t>
  </si>
  <si>
    <t>CHAT-007</t>
  </si>
  <si>
    <t>Reaction</t>
  </si>
  <si>
    <t>Tha reaction tin nhan</t>
  </si>
  <si>
    <t>Co tin nhan</t>
  </si>
  <si>
    <t>Like/love</t>
  </si>
  <si>
    <t>1. Hover tin; 2. Chon reaction</t>
  </si>
  <si>
    <t>Reaction hien dung va realtime</t>
  </si>
  <si>
    <t>CHAT-008</t>
  </si>
  <si>
    <t>Reply</t>
  </si>
  <si>
    <t>Tra loi tin nhan</t>
  </si>
  <si>
    <t>Co tin nhan cu</t>
  </si>
  <si>
    <t>Reply text</t>
  </si>
  <si>
    <t>1. Chon Tra loi; 2. Gui</t>
  </si>
  <si>
    <t>Tin moi co preview reply, click preview scroll ve tin goc</t>
  </si>
  <si>
    <t>CHAT-009</t>
  </si>
  <si>
    <t>Search message</t>
  </si>
  <si>
    <t>Tim tin nhan bang icon search</t>
  </si>
  <si>
    <t>Conversation co nhieu tin</t>
  </si>
  <si>
    <t>Keyword co trong tin</t>
  </si>
  <si>
    <t>1. Bam icon search; 2. Nhap keyword</t>
  </si>
  <si>
    <t>Input hien, ket qua dung, click scroll den tin</t>
  </si>
  <si>
    <t>CHAT-010</t>
  </si>
  <si>
    <t>Blocked after unfriend</t>
  </si>
  <si>
    <t>Khong cho gui khi khong con la ban</t>
  </si>
  <si>
    <t>Da huy ket ban nhung con conversation</t>
  </si>
  <si>
    <t>1. Mo chat cu; 2. Thu gui tin</t>
  </si>
  <si>
    <t>Input bi khoa hoac API tu choi gui</t>
  </si>
  <si>
    <t>GROUP-001</t>
  </si>
  <si>
    <t>Create group</t>
  </si>
  <si>
    <t>Tao nhom moi tu ban be</t>
  </si>
  <si>
    <t>Co it nhat 2 ban be</t>
  </si>
  <si>
    <t>Ten nhom, thanh vien</t>
  </si>
  <si>
    <t>1. Bam tao nhom; 2. Chon thanh vien; 3. Tao</t>
  </si>
  <si>
    <t>Group conversation hien trong sidebar</t>
  </si>
  <si>
    <t>GROUP-002</t>
  </si>
  <si>
    <t>Send group message</t>
  </si>
  <si>
    <t>Gui tin nhan nhom</t>
  </si>
  <si>
    <t>Nhom co 3 thanh vien</t>
  </si>
  <si>
    <t>3 tai khoan test</t>
  </si>
  <si>
    <t>1. A gui tin nhom</t>
  </si>
  <si>
    <t>Tat ca thanh vien nhan realtime</t>
  </si>
  <si>
    <t>Can 3 nguoi test</t>
  </si>
  <si>
    <t>GROUP-003</t>
  </si>
  <si>
    <t>Add member</t>
  </si>
  <si>
    <t>Them thanh vien vao nhom</t>
  </si>
  <si>
    <t>User la admin nhom</t>
  </si>
  <si>
    <t>Thanh vien moi</t>
  </si>
  <si>
    <t>1. Mo thong tin nhom; 2. Them thanh vien</t>
  </si>
  <si>
    <t>Thanh vien moi thay nhom va lich su theo rule</t>
  </si>
  <si>
    <t>GROUP-004</t>
  </si>
  <si>
    <t>Remove member</t>
  </si>
  <si>
    <t>Xoa thanh vien khoi nhom</t>
  </si>
  <si>
    <t>Member can xoa</t>
  </si>
  <si>
    <t>1. Admin xoa member</t>
  </si>
  <si>
    <t>Member bi xoa khong gui duoc tiep</t>
  </si>
  <si>
    <t>GROUP-005</t>
  </si>
  <si>
    <t>Leave group</t>
  </si>
  <si>
    <t>Roi nhom</t>
  </si>
  <si>
    <t>User la member nhom</t>
  </si>
  <si>
    <t>Tai khoan member</t>
  </si>
  <si>
    <t>1. Member bam roi nhom</t>
  </si>
  <si>
    <t>Nhom bien mat khoi sidebar user do</t>
  </si>
  <si>
    <t>GROUP-006</t>
  </si>
  <si>
    <t>Dissolve group</t>
  </si>
  <si>
    <t>Giai tan nhom</t>
  </si>
  <si>
    <t>Group active</t>
  </si>
  <si>
    <t>1. Admin giai tan</t>
  </si>
  <si>
    <t>Tat ca thanh vien thay nhom bi giai tan, khong gui duoc</t>
  </si>
  <si>
    <t>GROUP-007</t>
  </si>
  <si>
    <t>Group search</t>
  </si>
  <si>
    <t>Tim tin nhan nhom bang icon search</t>
  </si>
  <si>
    <t>Nhom co nhieu tin</t>
  </si>
  <si>
    <t>Keyword</t>
  </si>
  <si>
    <t>Input hien giong chat 1-1, ket qua dung</t>
  </si>
  <si>
    <t>GROUP-008</t>
  </si>
  <si>
    <t>Group info</t>
  </si>
  <si>
    <t>Xem thong tin nhom</t>
  </si>
  <si>
    <t>Nhom ton tai</t>
  </si>
  <si>
    <t>1. Bam Thong tin nhom</t>
  </si>
  <si>
    <t>Hien avatar, ten, thanh vien, quyen admin</t>
  </si>
  <si>
    <t>FILE-001</t>
  </si>
  <si>
    <t>File Upload</t>
  </si>
  <si>
    <t>Image</t>
  </si>
  <si>
    <t>Gui anh trong chat 1-1</t>
  </si>
  <si>
    <t>Conversation active</t>
  </si>
  <si>
    <t>File jpg/png &lt; 10MB</t>
  </si>
  <si>
    <t>1. Chon file; 2. Gui</t>
  </si>
  <si>
    <t>Anh hien trong chat, receiver xem duoc</t>
  </si>
  <si>
    <t>FILE-002</t>
  </si>
  <si>
    <t>Document</t>
  </si>
  <si>
    <t>Gui file tai lieu</t>
  </si>
  <si>
    <t>PDF/DOC/XLS &lt; 10MB</t>
  </si>
  <si>
    <t>File hien icon, ten file, nut download</t>
  </si>
  <si>
    <t>FILE-003</t>
  </si>
  <si>
    <t>Limit</t>
  </si>
  <si>
    <t>Upload file qua dung luong</t>
  </si>
  <si>
    <t>File &gt; 10MB</t>
  </si>
  <si>
    <t>1. Chon file lon</t>
  </si>
  <si>
    <t>Thong bao loi kich thuoc, khong gui</t>
  </si>
  <si>
    <t>FILE-004</t>
  </si>
  <si>
    <t>Forward</t>
  </si>
  <si>
    <t>Chuyen tiep tin nhan</t>
  </si>
  <si>
    <t>Co tin nhan va nhieu conversation</t>
  </si>
  <si>
    <t>Tin can forward</t>
  </si>
  <si>
    <t>1. Mo menu; 2. Chuyen tiep; 3. Chon dich</t>
  </si>
  <si>
    <t>Tin duoc gui sang conversation dich</t>
  </si>
  <si>
    <t>CALL-001</t>
  </si>
  <si>
    <t>Audio call</t>
  </si>
  <si>
    <t>Goi audio 1-1</t>
  </si>
  <si>
    <t>2 user online, browser cap mic</t>
  </si>
  <si>
    <t>1. A bam audio; 2. B chap nhan</t>
  </si>
  <si>
    <t>Hai ben ket noi audio, log call duoc luu</t>
  </si>
  <si>
    <t>Can 2 may/browser</t>
  </si>
  <si>
    <t>CALL-002</t>
  </si>
  <si>
    <t>Video call</t>
  </si>
  <si>
    <t>Goi video 1-1</t>
  </si>
  <si>
    <t>2 user online, cap camera/mic</t>
  </si>
  <si>
    <t>1. A bam video; 2. B chap nhan</t>
  </si>
  <si>
    <t>Hai ben thay video, audio hoat dong</t>
  </si>
  <si>
    <t>CALL-003</t>
  </si>
  <si>
    <t>Reject call</t>
  </si>
  <si>
    <t>Tu choi cuoc goi</t>
  </si>
  <si>
    <t>Co incoming call</t>
  </si>
  <si>
    <t>A goi B</t>
  </si>
  <si>
    <t>A thay bi tu choi, chat co lich su call</t>
  </si>
  <si>
    <t>CALL-004</t>
  </si>
  <si>
    <t>Missed call</t>
  </si>
  <si>
    <t>Khong bat may</t>
  </si>
  <si>
    <t>B online hoac app mo</t>
  </si>
  <si>
    <t>A goi B khong tra loi</t>
  </si>
  <si>
    <t>1. De het timeout</t>
  </si>
  <si>
    <t>Call status missed hien trong chat</t>
  </si>
  <si>
    <t>AI-001</t>
  </si>
  <si>
    <t>AI Assistant</t>
  </si>
  <si>
    <t>Ask public service</t>
  </si>
  <si>
    <t>Hoi thu tuc thue hop le</t>
  </si>
  <si>
    <t>BE co GEMINI_API_KEY hoac fallback</t>
  </si>
  <si>
    <t>Toi muon hoi ve cach dang ky thue</t>
  </si>
  <si>
    <t>1. Mo tab AI; 2. Gui cau hoi</t>
  </si>
  <si>
    <t>AI tra loi noi dung dich vu cong, khong loi 500</t>
  </si>
  <si>
    <t>AI-002</t>
  </si>
  <si>
    <t>Short question</t>
  </si>
  <si>
    <t>Cau hoi qua ngan</t>
  </si>
  <si>
    <t>Mo tab AI</t>
  </si>
  <si>
    <t>ALO</t>
  </si>
  <si>
    <t>1. Gui ALO</t>
  </si>
  <si>
    <t>Tra ve thong bao cau hoi qua ngan</t>
  </si>
  <si>
    <t>AI-003</t>
  </si>
  <si>
    <t>Fallback</t>
  </si>
  <si>
    <t>Gemini loi van co cau tra loi du phong</t>
  </si>
  <si>
    <t>Tam thoi dung key sai hoac het quota</t>
  </si>
  <si>
    <t>Hoi ve thue</t>
  </si>
  <si>
    <t>1. Gui cau hoi</t>
  </si>
  <si>
    <t>API tra 200 success true fallback, UI hien cau tra loi du phong</t>
  </si>
  <si>
    <t>AI-004</t>
  </si>
  <si>
    <t>Session history</t>
  </si>
  <si>
    <t>Tiep tuc hoi trong session cu</t>
  </si>
  <si>
    <t>Co session AI cu</t>
  </si>
  <si>
    <t>Session trong sidebar</t>
  </si>
  <si>
    <t>1. Chon session; 2. Gui cau hoi tiep</t>
  </si>
  <si>
    <t>History load dung, khong loi role user/model</t>
  </si>
  <si>
    <t>AI-005</t>
  </si>
  <si>
    <t>Delete session</t>
  </si>
  <si>
    <t>Xoa lich su AI</t>
  </si>
  <si>
    <t>Co session AI</t>
  </si>
  <si>
    <t>Session bat ky</t>
  </si>
  <si>
    <t>1. Bam xoa session</t>
  </si>
  <si>
    <t>Session bien mat khoi sidebar</t>
  </si>
  <si>
    <t>ADMIN-001</t>
  </si>
  <si>
    <t>Dashboard</t>
  </si>
  <si>
    <t>Xem dashboard thong ke</t>
  </si>
  <si>
    <t>Dang nhap admin</t>
  </si>
  <si>
    <t>1. Vao /admin</t>
  </si>
  <si>
    <t>Hien tong user, message, group, bieu do</t>
  </si>
  <si>
    <t>ADMIN-002</t>
  </si>
  <si>
    <t>User list</t>
  </si>
  <si>
    <t>Tim kiem user admin</t>
  </si>
  <si>
    <t>Keyword email/name</t>
  </si>
  <si>
    <t>1. Nhap keyword</t>
  </si>
  <si>
    <t>Danh sach loc dung user</t>
  </si>
  <si>
    <t>ADMIN-003</t>
  </si>
  <si>
    <t>Lock user</t>
  </si>
  <si>
    <t>Khoa user</t>
  </si>
  <si>
    <t>Dang nhap admin, user active</t>
  </si>
  <si>
    <t>User test</t>
  </si>
  <si>
    <t>1. Bam khoa; 2. Nhap ly do</t>
  </si>
  <si>
    <t>User bi lock, khong dang nhap/gui tin</t>
  </si>
  <si>
    <t>ADMIN-004</t>
  </si>
  <si>
    <t>Unlock user</t>
  </si>
  <si>
    <t>Mo khoa user</t>
  </si>
  <si>
    <t>User bi lock</t>
  </si>
  <si>
    <t>1. Bam mo khoa</t>
  </si>
  <si>
    <t>User dang nhap lai duoc</t>
  </si>
  <si>
    <t>ADMIN-005</t>
  </si>
  <si>
    <t>Delete user</t>
  </si>
  <si>
    <t>Xoa user mem</t>
  </si>
  <si>
    <t>Co user test khong quan trong</t>
  </si>
  <si>
    <t>1. Bam xoa</t>
  </si>
  <si>
    <t>User bi soft delete/removed theo rule, group/chat xu ly dung</t>
  </si>
  <si>
    <t>Can kiem tra anh huong chat/group</t>
  </si>
  <si>
    <t>ADMIN-006</t>
  </si>
  <si>
    <t>Group management</t>
  </si>
  <si>
    <t>Khoa/giai tan group tu admin</t>
  </si>
  <si>
    <t>Dang nhap admin, group ton tai</t>
  </si>
  <si>
    <t>Group test</t>
  </si>
  <si>
    <t>1. Admin khoa/giai tan group</t>
  </si>
  <si>
    <t>Thanh vien khong gui duoc, UI cap nhat realtime</t>
  </si>
  <si>
    <t>NOTI-001</t>
  </si>
  <si>
    <t>Notification</t>
  </si>
  <si>
    <t>Friend notification</t>
  </si>
  <si>
    <t>Nhan thong bao loi moi ket ban</t>
  </si>
  <si>
    <t>2 user online</t>
  </si>
  <si>
    <t>A gui request cho B</t>
  </si>
  <si>
    <t>1. A gui; 2. B xem notification</t>
  </si>
  <si>
    <t>B nhan notification realtime</t>
  </si>
  <si>
    <t>NOTI-002</t>
  </si>
  <si>
    <t>Unread count</t>
  </si>
  <si>
    <t>Dem thong bao chua doc</t>
  </si>
  <si>
    <t>Co notification moi</t>
  </si>
  <si>
    <t>Notification list</t>
  </si>
  <si>
    <t>1. Tao notification; 2. Xem badge</t>
  </si>
  <si>
    <t>Unread count tang va giam khi read</t>
  </si>
  <si>
    <t>SEC-001</t>
  </si>
  <si>
    <t>Security</t>
  </si>
  <si>
    <t>Protected route</t>
  </si>
  <si>
    <t>Khong co token truy cap API bao ve</t>
  </si>
  <si>
    <t>Xoa token localStorage</t>
  </si>
  <si>
    <t>GET /api/chat/conversations</t>
  </si>
  <si>
    <t>1. Xoa token; 2. Reload app</t>
  </si>
  <si>
    <t>Redirect login hoac API 401</t>
  </si>
  <si>
    <t>SEC-002</t>
  </si>
  <si>
    <t>Invalid token</t>
  </si>
  <si>
    <t>Token sai bi tu choi</t>
  </si>
  <si>
    <t>Sua token localStorage</t>
  </si>
  <si>
    <t>Bearer invalid</t>
  </si>
  <si>
    <t>1. Set token sai; 2. Goi API</t>
  </si>
  <si>
    <t>API 401, frontend logout</t>
  </si>
  <si>
    <t>DEPLOY-001</t>
  </si>
  <si>
    <t>Deploy</t>
  </si>
  <si>
    <t>FE env</t>
  </si>
  <si>
    <t>FE goi dung BE URL tu .env</t>
  </si>
  <si>
    <t>Build/deploy FE</t>
  </si>
  <si>
    <t>VITE_API_URL</t>
  </si>
  <si>
    <t>1. Build FE; 2. Kiem tra network</t>
  </si>
  <si>
    <t>Request di dung BE domain</t>
  </si>
  <si>
    <t>DEPLOY-002</t>
  </si>
  <si>
    <t>Socket deploy</t>
  </si>
  <si>
    <t>Socket connect sau deploy</t>
  </si>
  <si>
    <t>FE/BE deploy co CORS/socket</t>
  </si>
  <si>
    <t>1. Login; 2. Quan sat socket</t>
  </si>
  <si>
    <t>Socket connected, realtime chat hoat dong</t>
  </si>
  <si>
    <t>DEPLOY-003</t>
  </si>
  <si>
    <t>Media permission</t>
  </si>
  <si>
    <t>Call tren trinh duyet that</t>
  </si>
  <si>
    <t>HTTPS deploy</t>
  </si>
  <si>
    <t>Camera/mic permission</t>
  </si>
  <si>
    <t>1. Goi video/audio</t>
  </si>
  <si>
    <t>Trinh duyet cho phep getUserMedia va call hoat dong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</si>
</sst>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d\-mmm\-yy;@"/>
    <numFmt numFmtId="177" formatCode="mm/dd"/>
    <numFmt numFmtId="178" formatCode="[$-409]m/d/yyyy"/>
    <numFmt numFmtId="179" formatCode="0.0"/>
    <numFmt numFmtId="180" formatCode="[$-409]d\-mmm\-yy"/>
  </numFmts>
  <fonts count="68">
    <font>
      <sz val="11"/>
      <name val="ＭＳ Ｐゴシック"/>
      <charset val="134"/>
    </font>
    <font>
      <b/>
      <sz val="11"/>
      <name val="Times New Roman"/>
      <charset val="134"/>
    </font>
    <font>
      <sz val="11"/>
      <name val="Times New Roman"/>
      <charset val="134"/>
    </font>
    <font>
      <sz val="8"/>
      <name val="Times New Roman"/>
      <charset val="134"/>
    </font>
    <font>
      <b/>
      <sz val="8"/>
      <name val="Times New Roman"/>
      <charset val="134"/>
    </font>
    <font>
      <b/>
      <sz val="10"/>
      <name val="Times New Roman"/>
      <charset val="134"/>
    </font>
    <font>
      <i/>
      <sz val="10"/>
      <name val="Times New Roman"/>
      <charset val="134"/>
    </font>
    <font>
      <sz val="10"/>
      <name val="Times New Roman"/>
      <charset val="134"/>
    </font>
    <font>
      <b/>
      <sz val="10"/>
      <color rgb="FFFFFFFF"/>
      <name val="Times New Roman"/>
      <charset val="134"/>
    </font>
    <font>
      <b/>
      <sz val="8"/>
      <color rgb="FFFFFFFF"/>
      <name val="Times New Roman"/>
      <charset val="134"/>
    </font>
    <font>
      <sz val="8"/>
      <color rgb="FFFFFFFF"/>
      <name val="Times New Roman"/>
      <charset val="134"/>
    </font>
    <font>
      <i/>
      <sz val="8"/>
      <name val="Times New Roman"/>
      <charset val="134"/>
    </font>
    <font>
      <b/>
      <sz val="12"/>
      <name val="Times New Roman"/>
      <charset val="134"/>
    </font>
    <font>
      <sz val="8"/>
      <color rgb="FF008000"/>
      <name val="Times New Roman"/>
      <charset val="134"/>
    </font>
    <font>
      <sz val="8"/>
      <name val="Tahoma"/>
      <charset val="134"/>
    </font>
    <font>
      <b/>
      <sz val="8"/>
      <name val="Tahoma"/>
      <charset val="134"/>
    </font>
    <font>
      <i/>
      <sz val="8"/>
      <name val="Tahoma"/>
      <charset val="134"/>
    </font>
    <font>
      <b/>
      <sz val="10"/>
      <color rgb="FFFFFFFF"/>
      <name val="Tahoma"/>
      <charset val="134"/>
    </font>
    <font>
      <b/>
      <sz val="8"/>
      <color rgb="FFFFFFFF"/>
      <name val="Tahoma"/>
      <charset val="134"/>
    </font>
    <font>
      <sz val="8"/>
      <color rgb="FFFFFFFF"/>
      <name val="Tahoma"/>
      <charset val="134"/>
    </font>
    <font>
      <b/>
      <sz val="12"/>
      <name val="Tahoma"/>
      <charset val="134"/>
    </font>
    <font>
      <sz val="11"/>
      <color rgb="FF0000FF"/>
      <name val="ＭＳ Ｐゴシック"/>
      <charset val="134"/>
    </font>
    <font>
      <sz val="11"/>
      <name val="Tahoma"/>
      <charset val="134"/>
    </font>
    <font>
      <sz val="8"/>
      <color rgb="FF008000"/>
      <name val="Tahoma"/>
      <charset val="134"/>
    </font>
    <font>
      <sz val="11"/>
      <color rgb="FF0000FF"/>
      <name val="Times New Roman"/>
      <charset val="134"/>
    </font>
    <font>
      <sz val="8"/>
      <color rgb="FF0000FF"/>
      <name val="Tahoma"/>
      <charset val="134"/>
    </font>
    <font>
      <sz val="10"/>
      <name val="Tahoma"/>
      <charset val="134"/>
    </font>
    <font>
      <b/>
      <sz val="20"/>
      <color rgb="FF000000"/>
      <name val="Tahoma"/>
      <charset val="134"/>
    </font>
    <font>
      <b/>
      <sz val="10"/>
      <name val="Tahoma"/>
      <charset val="134"/>
    </font>
    <font>
      <i/>
      <sz val="10"/>
      <name val="Tahoma"/>
      <charset val="134"/>
    </font>
    <font>
      <b/>
      <sz val="10"/>
      <color rgb="FF993300"/>
      <name val="Tahoma"/>
      <charset val="134"/>
    </font>
    <font>
      <i/>
      <sz val="10"/>
      <color rgb="FF008000"/>
      <name val="Tahoma"/>
      <charset val="134"/>
    </font>
    <font>
      <sz val="11"/>
      <color rgb="FF0000FF"/>
      <name val="Tahoma"/>
      <charset val="134"/>
    </font>
    <font>
      <sz val="10"/>
      <color rgb="FFFFFFFF"/>
      <name val="Tahoma"/>
      <charset val="134"/>
    </font>
    <font>
      <b/>
      <sz val="11"/>
      <color rgb="FFFFFFFF"/>
      <name val="Tahoma"/>
      <charset val="134"/>
    </font>
    <font>
      <sz val="10"/>
      <color rgb="FF000000"/>
      <name val="Tahoma"/>
      <charset val="134"/>
    </font>
    <font>
      <b/>
      <sz val="10"/>
      <color rgb="FF000000"/>
      <name val="Tahoma"/>
      <charset val="134"/>
    </font>
    <font>
      <b/>
      <sz val="10"/>
      <color rgb="FFFF0000"/>
      <name val="Tahoma"/>
      <charset val="134"/>
    </font>
    <font>
      <sz val="10"/>
      <color rgb="FF0000FF"/>
      <name val="Tahoma"/>
      <charset val="134"/>
    </font>
    <font>
      <b/>
      <sz val="26"/>
      <color rgb="FFFF0000"/>
      <name val="Tahoma"/>
      <charset val="134"/>
    </font>
    <font>
      <b/>
      <sz val="18"/>
      <name val="Tahoma"/>
      <charset val="134"/>
    </font>
    <font>
      <b/>
      <sz val="11"/>
      <name val="Tahoma"/>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ＭＳ ゴシック"/>
      <charset val="134"/>
    </font>
    <font>
      <sz val="10"/>
      <name val="Tahoma"/>
      <charset val="134"/>
    </font>
    <font>
      <b/>
      <sz val="10"/>
      <name val="Tahoma"/>
      <charset val="134"/>
    </font>
    <font>
      <i/>
      <sz val="10"/>
      <name val="Tahoma"/>
      <charset val="134"/>
    </font>
    <font>
      <sz val="10"/>
      <name val="SimSun"/>
      <charset val="134"/>
    </font>
  </fonts>
  <fills count="39">
    <fill>
      <patternFill patternType="none"/>
    </fill>
    <fill>
      <patternFill patternType="gray125"/>
    </fill>
    <fill>
      <patternFill patternType="solid">
        <fgColor rgb="FFFFFF99"/>
        <bgColor indexed="64"/>
      </patternFill>
    </fill>
    <fill>
      <patternFill patternType="solid">
        <fgColor rgb="FFFFFFFF"/>
        <bgColor indexed="64"/>
      </patternFill>
    </fill>
    <fill>
      <patternFill patternType="solid">
        <fgColor rgb="FF000080"/>
        <bgColor indexed="64"/>
      </patternFill>
    </fill>
    <fill>
      <patternFill patternType="solid">
        <fgColor rgb="FFFF9900"/>
        <bgColor indexed="64"/>
      </patternFill>
    </fill>
    <fill>
      <patternFill patternType="solid">
        <fgColor rgb="FF333399"/>
        <bgColor indexed="64"/>
      </patternFill>
    </fill>
    <fill>
      <patternFill patternType="solid">
        <fgColor rgb="FFCCFF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6">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double">
        <color auto="1"/>
      </left>
      <right style="hair">
        <color auto="1"/>
      </right>
      <top style="double">
        <color auto="1"/>
      </top>
      <bottom style="medium">
        <color rgb="FFFFFFFF"/>
      </bottom>
      <diagonal/>
    </border>
    <border>
      <left/>
      <right/>
      <top style="double">
        <color auto="1"/>
      </top>
      <bottom style="medium">
        <color rgb="FFFFFFFF"/>
      </bottom>
      <diagonal/>
    </border>
    <border>
      <left style="double">
        <color auto="1"/>
      </left>
      <right style="thin">
        <color auto="1"/>
      </right>
      <top style="medium">
        <color rgb="FFFFFFFF"/>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right/>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style="double">
        <color auto="1"/>
      </left>
      <right style="thin">
        <color auto="1"/>
      </right>
      <top/>
      <bottom style="double">
        <color auto="1"/>
      </bottom>
      <diagonal/>
    </border>
    <border>
      <left style="thin">
        <color auto="1"/>
      </left>
      <right style="medium">
        <color auto="1"/>
      </right>
      <top style="medium">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double">
        <color auto="1"/>
      </right>
      <top style="double">
        <color auto="1"/>
      </top>
      <bottom style="medium">
        <color rgb="FFFFFFFF"/>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diagonal/>
    </border>
    <border>
      <left style="thin">
        <color auto="1"/>
      </left>
      <right style="double">
        <color auto="1"/>
      </right>
      <top style="thin">
        <color auto="1"/>
      </top>
      <bottom style="double">
        <color auto="1"/>
      </bottom>
      <diagonal/>
    </border>
    <border>
      <left style="thin">
        <color auto="1"/>
      </left>
      <right style="double">
        <color auto="1"/>
      </right>
      <top style="double">
        <color auto="1"/>
      </top>
      <bottom style="thin">
        <color auto="1"/>
      </bottom>
      <diagonal/>
    </border>
    <border>
      <left/>
      <right style="medium">
        <color auto="1"/>
      </right>
      <top/>
      <bottom style="thin">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medium">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42" fillId="0" borderId="0" applyBorder="0" applyAlignment="0" applyProtection="0"/>
    <xf numFmtId="44" fontId="42" fillId="0" borderId="0" applyBorder="0" applyAlignment="0" applyProtection="0"/>
    <xf numFmtId="9" fontId="42" fillId="0" borderId="0" applyBorder="0" applyAlignment="0" applyProtection="0"/>
    <xf numFmtId="41" fontId="42" fillId="0" borderId="0" applyBorder="0" applyAlignment="0" applyProtection="0"/>
    <xf numFmtId="42" fontId="42" fillId="0" borderId="0" applyBorder="0" applyAlignment="0" applyProtection="0"/>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8" borderId="58"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59" applyNumberFormat="0" applyFill="0" applyAlignment="0" applyProtection="0">
      <alignment vertical="center"/>
    </xf>
    <xf numFmtId="0" fontId="50" fillId="0" borderId="59" applyNumberFormat="0" applyFill="0" applyAlignment="0" applyProtection="0">
      <alignment vertical="center"/>
    </xf>
    <xf numFmtId="0" fontId="51" fillId="0" borderId="60" applyNumberFormat="0" applyFill="0" applyAlignment="0" applyProtection="0">
      <alignment vertical="center"/>
    </xf>
    <xf numFmtId="0" fontId="51" fillId="0" borderId="0" applyNumberFormat="0" applyFill="0" applyBorder="0" applyAlignment="0" applyProtection="0">
      <alignment vertical="center"/>
    </xf>
    <xf numFmtId="0" fontId="52" fillId="9" borderId="61" applyNumberFormat="0" applyAlignment="0" applyProtection="0">
      <alignment vertical="center"/>
    </xf>
    <xf numFmtId="0" fontId="53" fillId="10" borderId="62" applyNumberFormat="0" applyAlignment="0" applyProtection="0">
      <alignment vertical="center"/>
    </xf>
    <xf numFmtId="0" fontId="54" fillId="10" borderId="61" applyNumberFormat="0" applyAlignment="0" applyProtection="0">
      <alignment vertical="center"/>
    </xf>
    <xf numFmtId="0" fontId="55" fillId="11" borderId="63" applyNumberFormat="0" applyAlignment="0" applyProtection="0">
      <alignment vertical="center"/>
    </xf>
    <xf numFmtId="0" fontId="56" fillId="0" borderId="64" applyNumberFormat="0" applyFill="0" applyAlignment="0" applyProtection="0">
      <alignment vertical="center"/>
    </xf>
    <xf numFmtId="0" fontId="57" fillId="0" borderId="65" applyNumberFormat="0" applyFill="0" applyAlignment="0" applyProtection="0">
      <alignment vertical="center"/>
    </xf>
    <xf numFmtId="0" fontId="58" fillId="12" borderId="0" applyNumberFormat="0" applyBorder="0" applyAlignment="0" applyProtection="0">
      <alignment vertical="center"/>
    </xf>
    <xf numFmtId="0" fontId="59" fillId="13" borderId="0" applyNumberFormat="0" applyBorder="0" applyAlignment="0" applyProtection="0">
      <alignment vertical="center"/>
    </xf>
    <xf numFmtId="0" fontId="60" fillId="14" borderId="0" applyNumberFormat="0" applyBorder="0" applyAlignment="0" applyProtection="0">
      <alignment vertical="center"/>
    </xf>
    <xf numFmtId="0" fontId="61" fillId="15" borderId="0" applyNumberFormat="0" applyBorder="0" applyAlignment="0" applyProtection="0">
      <alignment vertical="center"/>
    </xf>
    <xf numFmtId="0" fontId="62" fillId="16" borderId="0" applyNumberFormat="0" applyBorder="0" applyAlignment="0" applyProtection="0">
      <alignment vertical="center"/>
    </xf>
    <xf numFmtId="0" fontId="62" fillId="17" borderId="0" applyNumberFormat="0" applyBorder="0" applyAlignment="0" applyProtection="0">
      <alignment vertical="center"/>
    </xf>
    <xf numFmtId="0" fontId="61" fillId="18" borderId="0" applyNumberFormat="0" applyBorder="0" applyAlignment="0" applyProtection="0">
      <alignment vertical="center"/>
    </xf>
    <xf numFmtId="0" fontId="61" fillId="19" borderId="0" applyNumberFormat="0" applyBorder="0" applyAlignment="0" applyProtection="0">
      <alignment vertical="center"/>
    </xf>
    <xf numFmtId="0" fontId="62" fillId="20" borderId="0" applyNumberFormat="0" applyBorder="0" applyAlignment="0" applyProtection="0">
      <alignment vertical="center"/>
    </xf>
    <xf numFmtId="0" fontId="62" fillId="21" borderId="0" applyNumberFormat="0" applyBorder="0" applyAlignment="0" applyProtection="0">
      <alignment vertical="center"/>
    </xf>
    <xf numFmtId="0" fontId="61" fillId="22" borderId="0" applyNumberFormat="0" applyBorder="0" applyAlignment="0" applyProtection="0">
      <alignment vertical="center"/>
    </xf>
    <xf numFmtId="0" fontId="61" fillId="23" borderId="0" applyNumberFormat="0" applyBorder="0" applyAlignment="0" applyProtection="0">
      <alignment vertical="center"/>
    </xf>
    <xf numFmtId="0" fontId="62" fillId="24" borderId="0" applyNumberFormat="0" applyBorder="0" applyAlignment="0" applyProtection="0">
      <alignment vertical="center"/>
    </xf>
    <xf numFmtId="0" fontId="62" fillId="25" borderId="0" applyNumberFormat="0" applyBorder="0" applyAlignment="0" applyProtection="0">
      <alignment vertical="center"/>
    </xf>
    <xf numFmtId="0" fontId="61" fillId="26" borderId="0" applyNumberFormat="0" applyBorder="0" applyAlignment="0" applyProtection="0">
      <alignment vertical="center"/>
    </xf>
    <xf numFmtId="0" fontId="61" fillId="27" borderId="0" applyNumberFormat="0" applyBorder="0" applyAlignment="0" applyProtection="0">
      <alignment vertical="center"/>
    </xf>
    <xf numFmtId="0" fontId="62" fillId="28" borderId="0" applyNumberFormat="0" applyBorder="0" applyAlignment="0" applyProtection="0">
      <alignment vertical="center"/>
    </xf>
    <xf numFmtId="0" fontId="62" fillId="29" borderId="0" applyNumberFormat="0" applyBorder="0" applyAlignment="0" applyProtection="0">
      <alignment vertical="center"/>
    </xf>
    <xf numFmtId="0" fontId="61" fillId="30" borderId="0" applyNumberFormat="0" applyBorder="0" applyAlignment="0" applyProtection="0">
      <alignment vertical="center"/>
    </xf>
    <xf numFmtId="0" fontId="61" fillId="31" borderId="0" applyNumberFormat="0" applyBorder="0" applyAlignment="0" applyProtection="0">
      <alignment vertical="center"/>
    </xf>
    <xf numFmtId="0" fontId="62" fillId="32" borderId="0" applyNumberFormat="0" applyBorder="0" applyAlignment="0" applyProtection="0">
      <alignment vertical="center"/>
    </xf>
    <xf numFmtId="0" fontId="62" fillId="33" borderId="0" applyNumberFormat="0" applyBorder="0" applyAlignment="0" applyProtection="0">
      <alignment vertical="center"/>
    </xf>
    <xf numFmtId="0" fontId="61" fillId="34" borderId="0" applyNumberFormat="0" applyBorder="0" applyAlignment="0" applyProtection="0">
      <alignment vertical="center"/>
    </xf>
    <xf numFmtId="0" fontId="61" fillId="35" borderId="0" applyNumberFormat="0" applyBorder="0" applyAlignment="0" applyProtection="0">
      <alignment vertical="center"/>
    </xf>
    <xf numFmtId="0" fontId="62" fillId="36" borderId="0" applyNumberFormat="0" applyBorder="0" applyAlignment="0" applyProtection="0">
      <alignment vertical="center"/>
    </xf>
    <xf numFmtId="0" fontId="62" fillId="37" borderId="0" applyNumberFormat="0" applyBorder="0" applyAlignment="0" applyProtection="0">
      <alignment vertical="center"/>
    </xf>
    <xf numFmtId="0" fontId="61" fillId="38" borderId="0" applyNumberFormat="0" applyBorder="0" applyAlignment="0" applyProtection="0">
      <alignment vertical="center"/>
    </xf>
    <xf numFmtId="0" fontId="0" fillId="0" borderId="0"/>
    <xf numFmtId="0" fontId="0" fillId="0" borderId="0"/>
    <xf numFmtId="0" fontId="0" fillId="0" borderId="0"/>
    <xf numFmtId="0" fontId="63" fillId="0" borderId="0"/>
    <xf numFmtId="0" fontId="21" fillId="0" borderId="0" applyBorder="0" applyProtection="0">
      <alignment vertical="center"/>
    </xf>
  </cellStyleXfs>
  <cellXfs count="342">
    <xf numFmtId="0" fontId="0" fillId="0" borderId="0" xfId="0">
      <alignment vertical="center"/>
    </xf>
    <xf numFmtId="0" fontId="1" fillId="2" borderId="1" xfId="0" applyFont="1" applyFill="1" applyBorder="1" applyAlignment="1">
      <alignment vertical="center" wrapText="1"/>
    </xf>
    <xf numFmtId="0" fontId="1" fillId="2" borderId="1" xfId="0" applyNumberFormat="1" applyFont="1" applyFill="1" applyBorder="1" applyAlignment="1">
      <alignment vertical="center" wrapText="1"/>
    </xf>
    <xf numFmtId="0" fontId="2" fillId="0" borderId="1" xfId="0" applyFont="1" applyBorder="1" applyAlignment="1">
      <alignment vertical="center" wrapText="1"/>
    </xf>
    <xf numFmtId="0" fontId="3" fillId="0" borderId="0" xfId="51" applyFont="1"/>
    <xf numFmtId="0" fontId="4" fillId="0" borderId="0" xfId="51" applyFont="1" applyAlignment="1">
      <alignment horizontal="left"/>
    </xf>
    <xf numFmtId="0" fontId="3" fillId="0" borderId="0" xfId="51" applyFont="1" applyAlignment="1">
      <alignment horizontal="right"/>
    </xf>
    <xf numFmtId="0" fontId="3" fillId="0" borderId="2" xfId="51" applyFont="1" applyBorder="1"/>
    <xf numFmtId="0" fontId="4" fillId="0" borderId="2" xfId="51" applyFont="1" applyBorder="1" applyAlignment="1">
      <alignment horizontal="left"/>
    </xf>
    <xf numFmtId="0" fontId="5" fillId="3" borderId="3" xfId="50" applyFont="1" applyFill="1" applyBorder="1" applyAlignment="1">
      <alignment horizontal="left" wrapText="1"/>
    </xf>
    <xf numFmtId="49" fontId="6" fillId="3" borderId="4" xfId="50" applyNumberFormat="1" applyFont="1" applyFill="1" applyBorder="1" applyAlignment="1">
      <alignment horizontal="left" wrapText="1"/>
    </xf>
    <xf numFmtId="0" fontId="5" fillId="3" borderId="5" xfId="50" applyFont="1" applyFill="1" applyBorder="1" applyAlignment="1">
      <alignment horizontal="left" wrapText="1"/>
    </xf>
    <xf numFmtId="0" fontId="5" fillId="3" borderId="6" xfId="50" applyFont="1" applyFill="1" applyBorder="1" applyAlignment="1">
      <alignment horizontal="left" wrapText="1"/>
    </xf>
    <xf numFmtId="0" fontId="6" fillId="3" borderId="7" xfId="50" applyFont="1" applyFill="1" applyBorder="1" applyAlignment="1">
      <alignment horizontal="left" wrapText="1"/>
    </xf>
    <xf numFmtId="0" fontId="5" fillId="3" borderId="1" xfId="50" applyFont="1" applyFill="1" applyBorder="1" applyAlignment="1">
      <alignment horizontal="left" wrapText="1"/>
    </xf>
    <xf numFmtId="0" fontId="6" fillId="3" borderId="8" xfId="50" applyFont="1" applyFill="1" applyBorder="1" applyAlignment="1">
      <alignment horizontal="center" wrapText="1"/>
    </xf>
    <xf numFmtId="0" fontId="6" fillId="3" borderId="9" xfId="50" applyFont="1" applyFill="1" applyBorder="1" applyAlignment="1">
      <alignment horizontal="left" wrapText="1"/>
    </xf>
    <xf numFmtId="0" fontId="6" fillId="3" borderId="10" xfId="50" applyFont="1" applyFill="1" applyBorder="1" applyAlignment="1">
      <alignment horizontal="left" wrapText="1"/>
    </xf>
    <xf numFmtId="0" fontId="5" fillId="3" borderId="6" xfId="51" applyFont="1" applyFill="1" applyBorder="1" applyAlignment="1">
      <alignment horizontal="center" vertical="center"/>
    </xf>
    <xf numFmtId="0" fontId="5" fillId="3" borderId="1" xfId="51" applyFont="1" applyFill="1" applyBorder="1" applyAlignment="1">
      <alignment horizontal="center" vertical="center" wrapText="1"/>
    </xf>
    <xf numFmtId="0" fontId="7" fillId="3" borderId="11" xfId="51" applyFont="1" applyFill="1" applyBorder="1" applyAlignment="1">
      <alignment horizontal="center" vertical="center"/>
    </xf>
    <xf numFmtId="0" fontId="7" fillId="3" borderId="12" xfId="51" applyFont="1" applyFill="1" applyBorder="1" applyAlignment="1">
      <alignment horizontal="center" vertical="center"/>
    </xf>
    <xf numFmtId="176" fontId="8" fillId="4" borderId="13" xfId="51" applyNumberFormat="1" applyFont="1" applyFill="1" applyBorder="1" applyAlignment="1">
      <alignment horizontal="center" vertical="center"/>
    </xf>
    <xf numFmtId="0" fontId="9" fillId="4" borderId="14" xfId="51" applyFont="1" applyFill="1" applyBorder="1" applyAlignment="1">
      <alignment horizontal="left"/>
    </xf>
    <xf numFmtId="0" fontId="10" fillId="4" borderId="14" xfId="51" applyFont="1" applyFill="1" applyBorder="1"/>
    <xf numFmtId="0" fontId="10" fillId="4" borderId="14" xfId="51" applyFont="1" applyFill="1" applyBorder="1" applyAlignment="1">
      <alignment horizontal="right"/>
    </xf>
    <xf numFmtId="0" fontId="8" fillId="4" borderId="14" xfId="51" applyFont="1" applyFill="1" applyBorder="1" applyAlignment="1">
      <alignment vertical="top"/>
    </xf>
    <xf numFmtId="0" fontId="8" fillId="4" borderId="15" xfId="51" applyFont="1" applyFill="1" applyBorder="1" applyAlignment="1">
      <alignment vertical="center"/>
    </xf>
    <xf numFmtId="0" fontId="5" fillId="3" borderId="16" xfId="51" applyFont="1" applyFill="1" applyBorder="1" applyAlignment="1">
      <alignment horizontal="left" vertical="top"/>
    </xf>
    <xf numFmtId="0" fontId="7" fillId="3" borderId="17" xfId="51" applyFont="1" applyFill="1" applyBorder="1" applyAlignment="1">
      <alignment horizontal="center" vertical="top"/>
    </xf>
    <xf numFmtId="0" fontId="7" fillId="3" borderId="18" xfId="51" applyFont="1" applyFill="1" applyBorder="1" applyAlignment="1">
      <alignment horizontal="right" vertical="top"/>
    </xf>
    <xf numFmtId="0" fontId="11" fillId="5" borderId="0" xfId="51" applyFont="1" applyFill="1" applyBorder="1" applyAlignment="1">
      <alignment horizontal="right"/>
    </xf>
    <xf numFmtId="0" fontId="12" fillId="0" borderId="7" xfId="51" applyFont="1" applyBorder="1" applyAlignment="1">
      <alignment horizontal="center"/>
    </xf>
    <xf numFmtId="0" fontId="8" fillId="4" borderId="19" xfId="51" applyFont="1" applyFill="1" applyBorder="1" applyAlignment="1">
      <alignment vertical="center"/>
    </xf>
    <xf numFmtId="0" fontId="5" fillId="3" borderId="8" xfId="51" applyFont="1" applyFill="1" applyBorder="1" applyAlignment="1">
      <alignment horizontal="left" vertical="top"/>
    </xf>
    <xf numFmtId="0" fontId="7" fillId="3" borderId="9" xfId="51" applyFont="1" applyFill="1" applyBorder="1" applyAlignment="1">
      <alignment horizontal="center" vertical="top"/>
    </xf>
    <xf numFmtId="0" fontId="7" fillId="3" borderId="20" xfId="51" applyFont="1" applyFill="1" applyBorder="1" applyAlignment="1">
      <alignment horizontal="right" vertical="top"/>
    </xf>
    <xf numFmtId="0" fontId="12" fillId="0" borderId="1" xfId="51" applyFont="1" applyBorder="1" applyAlignment="1">
      <alignment horizontal="center"/>
    </xf>
    <xf numFmtId="0" fontId="5" fillId="3" borderId="9" xfId="51" applyFont="1" applyFill="1" applyBorder="1" applyAlignment="1">
      <alignment horizontal="center" vertical="top"/>
    </xf>
    <xf numFmtId="0" fontId="3" fillId="0" borderId="0" xfId="51" applyFont="1" applyBorder="1" applyAlignment="1">
      <alignment vertical="top"/>
    </xf>
    <xf numFmtId="0" fontId="7" fillId="3" borderId="20" xfId="51" applyFont="1" applyFill="1" applyBorder="1" applyAlignment="1">
      <alignment horizontal="left" vertical="top"/>
    </xf>
    <xf numFmtId="0" fontId="3" fillId="5" borderId="0" xfId="51" applyFont="1" applyFill="1" applyBorder="1" applyAlignment="1">
      <alignment horizontal="right"/>
    </xf>
    <xf numFmtId="49" fontId="7" fillId="3" borderId="20" xfId="51" applyNumberFormat="1" applyFont="1" applyFill="1" applyBorder="1" applyAlignment="1">
      <alignment horizontal="right" vertical="top"/>
    </xf>
    <xf numFmtId="0" fontId="7" fillId="0" borderId="0" xfId="0" applyFont="1" applyAlignment="1">
      <alignment horizontal="right" vertical="center"/>
    </xf>
    <xf numFmtId="0" fontId="5" fillId="3" borderId="21" xfId="51" applyFont="1" applyFill="1" applyBorder="1" applyAlignment="1">
      <alignment horizontal="left" vertical="top"/>
    </xf>
    <xf numFmtId="0" fontId="7" fillId="3" borderId="22" xfId="51" applyFont="1" applyFill="1" applyBorder="1" applyAlignment="1">
      <alignment horizontal="center" vertical="top"/>
    </xf>
    <xf numFmtId="0" fontId="12" fillId="0" borderId="23" xfId="51" applyFont="1" applyBorder="1" applyAlignment="1">
      <alignment horizontal="center"/>
    </xf>
    <xf numFmtId="49" fontId="7" fillId="3" borderId="24" xfId="51" applyNumberFormat="1" applyFont="1" applyFill="1" applyBorder="1" applyAlignment="1">
      <alignment horizontal="right" vertical="top"/>
    </xf>
    <xf numFmtId="0" fontId="5" fillId="3" borderId="25" xfId="51" applyFont="1" applyFill="1" applyBorder="1" applyAlignment="1">
      <alignment horizontal="left" vertical="top"/>
    </xf>
    <xf numFmtId="0" fontId="7" fillId="3" borderId="26" xfId="51" applyFont="1" applyFill="1" applyBorder="1" applyAlignment="1">
      <alignment horizontal="center" vertical="top"/>
    </xf>
    <xf numFmtId="49" fontId="7" fillId="3" borderId="27" xfId="51" applyNumberFormat="1" applyFont="1" applyFill="1" applyBorder="1" applyAlignment="1">
      <alignment horizontal="right" vertical="top"/>
    </xf>
    <xf numFmtId="0" fontId="3" fillId="5" borderId="28" xfId="51" applyFont="1" applyFill="1" applyBorder="1" applyAlignment="1">
      <alignment horizontal="right"/>
    </xf>
    <xf numFmtId="0" fontId="12" fillId="0" borderId="29" xfId="51" applyFont="1" applyBorder="1" applyAlignment="1">
      <alignment horizontal="center"/>
    </xf>
    <xf numFmtId="0" fontId="8" fillId="4" borderId="15" xfId="51" applyFont="1" applyFill="1" applyBorder="1" applyAlignment="1">
      <alignment vertical="top"/>
    </xf>
    <xf numFmtId="0" fontId="5" fillId="3" borderId="16" xfId="51" applyFont="1" applyFill="1" applyBorder="1" applyAlignment="1"/>
    <xf numFmtId="0" fontId="5" fillId="3" borderId="17" xfId="51" applyFont="1" applyFill="1" applyBorder="1" applyAlignment="1"/>
    <xf numFmtId="0" fontId="7" fillId="3" borderId="18" xfId="51" applyFont="1" applyFill="1" applyBorder="1" applyAlignment="1">
      <alignment horizontal="right"/>
    </xf>
    <xf numFmtId="0" fontId="3" fillId="5" borderId="7" xfId="51" applyFont="1" applyFill="1" applyBorder="1" applyAlignment="1">
      <alignment horizontal="left"/>
    </xf>
    <xf numFmtId="0" fontId="8" fillId="4" borderId="19" xfId="51" applyFont="1" applyFill="1" applyBorder="1" applyAlignment="1">
      <alignment vertical="top"/>
    </xf>
    <xf numFmtId="0" fontId="5" fillId="3" borderId="8" xfId="51" applyFont="1" applyFill="1" applyBorder="1" applyAlignment="1"/>
    <xf numFmtId="0" fontId="7" fillId="3" borderId="9" xfId="51" applyFont="1" applyFill="1" applyBorder="1" applyAlignment="1"/>
    <xf numFmtId="0" fontId="7" fillId="3" borderId="20" xfId="51" applyFont="1" applyFill="1" applyBorder="1" applyAlignment="1">
      <alignment horizontal="right"/>
    </xf>
    <xf numFmtId="0" fontId="3" fillId="5" borderId="1" xfId="51" applyFont="1" applyFill="1" applyBorder="1" applyAlignment="1">
      <alignment horizontal="left"/>
    </xf>
    <xf numFmtId="0" fontId="3" fillId="5" borderId="1" xfId="51" applyFont="1" applyFill="1" applyBorder="1"/>
    <xf numFmtId="0" fontId="4" fillId="3" borderId="8" xfId="51" applyFont="1" applyFill="1" applyBorder="1" applyAlignment="1"/>
    <xf numFmtId="0" fontId="2" fillId="3" borderId="9" xfId="51" applyFont="1" applyFill="1" applyBorder="1" applyAlignment="1"/>
    <xf numFmtId="0" fontId="2" fillId="3" borderId="20" xfId="51" applyFont="1" applyFill="1" applyBorder="1" applyAlignment="1">
      <alignment horizontal="right"/>
    </xf>
    <xf numFmtId="0" fontId="4" fillId="3" borderId="21" xfId="51" applyFont="1" applyFill="1" applyBorder="1" applyAlignment="1"/>
    <xf numFmtId="0" fontId="2" fillId="3" borderId="22" xfId="51" applyFont="1" applyFill="1" applyBorder="1" applyAlignment="1"/>
    <xf numFmtId="0" fontId="2" fillId="3" borderId="24" xfId="51" applyFont="1" applyFill="1" applyBorder="1" applyAlignment="1">
      <alignment horizontal="right"/>
    </xf>
    <xf numFmtId="0" fontId="3" fillId="5" borderId="23" xfId="51" applyFont="1" applyFill="1" applyBorder="1"/>
    <xf numFmtId="0" fontId="3" fillId="3" borderId="22" xfId="51" applyFont="1" applyFill="1" applyBorder="1" applyAlignment="1"/>
    <xf numFmtId="0" fontId="3" fillId="5" borderId="23" xfId="51" applyFont="1" applyFill="1" applyBorder="1" applyAlignment="1">
      <alignment horizontal="left"/>
    </xf>
    <xf numFmtId="0" fontId="7" fillId="0" borderId="30" xfId="51" applyFont="1" applyBorder="1" applyAlignment="1">
      <alignment horizontal="left"/>
    </xf>
    <xf numFmtId="0" fontId="3" fillId="0" borderId="30" xfId="51" applyFont="1" applyBorder="1" applyAlignment="1">
      <alignment horizontal="left"/>
    </xf>
    <xf numFmtId="0" fontId="7" fillId="0" borderId="30" xfId="51" applyFont="1" applyBorder="1" applyAlignment="1">
      <alignment horizontal="center"/>
    </xf>
    <xf numFmtId="0" fontId="7" fillId="0" borderId="1" xfId="51" applyFont="1" applyBorder="1" applyAlignment="1">
      <alignment horizontal="left"/>
    </xf>
    <xf numFmtId="0" fontId="13" fillId="0" borderId="1" xfId="51" applyFont="1" applyBorder="1" applyAlignment="1">
      <alignment horizontal="left"/>
    </xf>
    <xf numFmtId="0" fontId="7" fillId="0" borderId="1" xfId="51" applyFont="1" applyBorder="1" applyAlignment="1">
      <alignment horizontal="center"/>
    </xf>
    <xf numFmtId="0" fontId="7" fillId="0" borderId="1" xfId="51" applyFont="1" applyBorder="1" applyAlignment="1">
      <alignment horizontal="left" vertical="top"/>
    </xf>
    <xf numFmtId="0" fontId="3" fillId="0" borderId="1" xfId="51" applyFont="1" applyBorder="1"/>
    <xf numFmtId="177" fontId="7" fillId="0" borderId="1" xfId="51" applyNumberFormat="1" applyFont="1" applyBorder="1" applyAlignment="1">
      <alignment vertical="top"/>
    </xf>
    <xf numFmtId="0" fontId="8" fillId="4" borderId="31" xfId="51" applyFont="1" applyFill="1" applyBorder="1" applyAlignment="1">
      <alignment vertical="top"/>
    </xf>
    <xf numFmtId="0" fontId="7" fillId="0" borderId="29" xfId="51" applyFont="1" applyBorder="1" applyAlignment="1">
      <alignment horizontal="left" vertical="top"/>
    </xf>
    <xf numFmtId="0" fontId="3" fillId="0" borderId="29" xfId="51" applyFont="1" applyBorder="1"/>
    <xf numFmtId="0" fontId="3" fillId="0" borderId="29" xfId="51" applyFont="1" applyBorder="1" applyAlignment="1"/>
    <xf numFmtId="0" fontId="9" fillId="0" borderId="0" xfId="51" applyFont="1" applyBorder="1" applyAlignment="1">
      <alignment vertical="top"/>
    </xf>
    <xf numFmtId="49" fontId="7" fillId="3" borderId="32" xfId="50" applyNumberFormat="1" applyFont="1" applyFill="1" applyBorder="1" applyAlignment="1">
      <alignment horizontal="center" wrapText="1"/>
    </xf>
    <xf numFmtId="0" fontId="7" fillId="3" borderId="10" xfId="50" applyFont="1" applyFill="1" applyBorder="1" applyAlignment="1">
      <alignment horizontal="center" wrapText="1"/>
    </xf>
    <xf numFmtId="0" fontId="5" fillId="3" borderId="9" xfId="51" applyFont="1" applyFill="1" applyBorder="1" applyAlignment="1">
      <alignment horizontal="center" vertical="center" wrapText="1"/>
    </xf>
    <xf numFmtId="0" fontId="5" fillId="3" borderId="10" xfId="51" applyFont="1" applyFill="1" applyBorder="1" applyAlignment="1">
      <alignment horizontal="center" vertical="center" wrapText="1"/>
    </xf>
    <xf numFmtId="0" fontId="7" fillId="3" borderId="33" xfId="51" applyFont="1" applyFill="1" applyBorder="1" applyAlignment="1">
      <alignment horizontal="center" vertical="center"/>
    </xf>
    <xf numFmtId="0" fontId="7" fillId="3" borderId="34" xfId="51" applyFont="1" applyFill="1" applyBorder="1" applyAlignment="1">
      <alignment horizontal="center" vertical="center"/>
    </xf>
    <xf numFmtId="0" fontId="9" fillId="4" borderId="14" xfId="51" applyFont="1" applyFill="1" applyBorder="1" applyAlignment="1">
      <alignment vertical="top"/>
    </xf>
    <xf numFmtId="49" fontId="12" fillId="0" borderId="1" xfId="51" applyNumberFormat="1" applyFont="1" applyBorder="1" applyAlignment="1">
      <alignment horizontal="center"/>
    </xf>
    <xf numFmtId="0" fontId="3" fillId="0" borderId="30" xfId="51" applyFont="1" applyBorder="1" applyAlignment="1">
      <alignment horizontal="center"/>
    </xf>
    <xf numFmtId="0" fontId="3" fillId="0" borderId="1" xfId="51" applyFont="1" applyBorder="1" applyAlignment="1">
      <alignment horizontal="center"/>
    </xf>
    <xf numFmtId="177" fontId="3" fillId="0" borderId="1" xfId="51" applyNumberFormat="1" applyFont="1" applyBorder="1" applyAlignment="1">
      <alignment vertical="top"/>
    </xf>
    <xf numFmtId="49" fontId="3" fillId="0" borderId="0" xfId="51" applyNumberFormat="1" applyFont="1"/>
    <xf numFmtId="0" fontId="3" fillId="0" borderId="35" xfId="51" applyFont="1" applyBorder="1"/>
    <xf numFmtId="0" fontId="9" fillId="4" borderId="36" xfId="51" applyFont="1" applyFill="1" applyBorder="1" applyAlignment="1">
      <alignment vertical="top"/>
    </xf>
    <xf numFmtId="0" fontId="4" fillId="0" borderId="0" xfId="51" applyFont="1"/>
    <xf numFmtId="49" fontId="3" fillId="0" borderId="0" xfId="51" applyNumberFormat="1" applyFont="1" applyBorder="1"/>
    <xf numFmtId="0" fontId="3" fillId="0" borderId="0" xfId="51" applyFont="1" applyBorder="1"/>
    <xf numFmtId="0" fontId="12" fillId="0" borderId="37" xfId="51" applyFont="1" applyBorder="1" applyAlignment="1">
      <alignment horizontal="center"/>
    </xf>
    <xf numFmtId="0" fontId="12" fillId="0" borderId="38" xfId="51" applyFont="1" applyBorder="1" applyAlignment="1">
      <alignment horizontal="center"/>
    </xf>
    <xf numFmtId="0" fontId="4" fillId="0" borderId="0" xfId="51" applyFont="1" applyAlignment="1">
      <alignment horizontal="center"/>
    </xf>
    <xf numFmtId="0" fontId="12" fillId="0" borderId="39" xfId="51" applyFont="1" applyBorder="1" applyAlignment="1">
      <alignment horizontal="center"/>
    </xf>
    <xf numFmtId="0" fontId="12" fillId="0" borderId="40" xfId="51" applyFont="1" applyBorder="1" applyAlignment="1">
      <alignment horizontal="center"/>
    </xf>
    <xf numFmtId="0" fontId="3" fillId="0" borderId="41" xfId="51" applyFont="1" applyBorder="1" applyAlignment="1">
      <alignment horizontal="center"/>
    </xf>
    <xf numFmtId="0" fontId="3" fillId="0" borderId="38" xfId="51" applyFont="1" applyBorder="1" applyAlignment="1">
      <alignment horizontal="center"/>
    </xf>
    <xf numFmtId="177" fontId="3" fillId="0" borderId="38" xfId="51" applyNumberFormat="1" applyFont="1" applyBorder="1" applyAlignment="1">
      <alignment vertical="top"/>
    </xf>
    <xf numFmtId="0" fontId="3" fillId="0" borderId="40" xfId="51" applyFont="1" applyBorder="1" applyAlignment="1"/>
    <xf numFmtId="0" fontId="7" fillId="0" borderId="0" xfId="0" applyFont="1">
      <alignment vertical="center"/>
    </xf>
    <xf numFmtId="0" fontId="14" fillId="0" borderId="0" xfId="51" applyFont="1"/>
    <xf numFmtId="0" fontId="15" fillId="0" borderId="0" xfId="51" applyFont="1" applyAlignment="1">
      <alignment horizontal="left"/>
    </xf>
    <xf numFmtId="0" fontId="14" fillId="0" borderId="0" xfId="51" applyFont="1" applyAlignment="1">
      <alignment horizontal="right"/>
    </xf>
    <xf numFmtId="0" fontId="14" fillId="0" borderId="2" xfId="51" applyFont="1" applyBorder="1"/>
    <xf numFmtId="0" fontId="15" fillId="0" borderId="2" xfId="51" applyFont="1" applyBorder="1" applyAlignment="1">
      <alignment horizontal="left"/>
    </xf>
    <xf numFmtId="0" fontId="0" fillId="0" borderId="0" xfId="0" applyNumberFormat="1" applyFont="1" applyFill="1" applyBorder="1" applyAlignment="1">
      <alignment vertical="center" wrapText="1"/>
    </xf>
    <xf numFmtId="0" fontId="15" fillId="3" borderId="3" xfId="50" applyFont="1" applyFill="1" applyBorder="1" applyAlignment="1">
      <alignment horizontal="left" wrapText="1"/>
    </xf>
    <xf numFmtId="49" fontId="16" fillId="3" borderId="4" xfId="50" applyNumberFormat="1" applyFont="1" applyFill="1" applyBorder="1" applyAlignment="1">
      <alignment horizontal="left" wrapText="1"/>
    </xf>
    <xf numFmtId="0" fontId="15" fillId="3" borderId="5" xfId="50" applyFont="1" applyFill="1" applyBorder="1" applyAlignment="1">
      <alignment horizontal="left" wrapText="1"/>
    </xf>
    <xf numFmtId="0" fontId="15" fillId="3" borderId="6" xfId="50" applyFont="1" applyFill="1" applyBorder="1" applyAlignment="1">
      <alignment horizontal="left" wrapText="1"/>
    </xf>
    <xf numFmtId="0" fontId="16" fillId="3" borderId="7" xfId="50" applyFont="1" applyFill="1" applyBorder="1" applyAlignment="1">
      <alignment horizontal="left" wrapText="1"/>
    </xf>
    <xf numFmtId="0" fontId="15" fillId="3" borderId="1" xfId="50" applyFont="1" applyFill="1" applyBorder="1" applyAlignment="1">
      <alignment horizontal="left" wrapText="1"/>
    </xf>
    <xf numFmtId="0" fontId="16" fillId="3" borderId="8" xfId="50" applyFont="1" applyFill="1" applyBorder="1" applyAlignment="1">
      <alignment horizontal="center" wrapText="1"/>
    </xf>
    <xf numFmtId="0" fontId="16" fillId="3" borderId="9" xfId="50" applyFont="1" applyFill="1" applyBorder="1" applyAlignment="1">
      <alignment horizontal="left" wrapText="1"/>
    </xf>
    <xf numFmtId="0" fontId="16" fillId="3" borderId="10" xfId="50" applyFont="1" applyFill="1" applyBorder="1" applyAlignment="1">
      <alignment horizontal="left" wrapText="1"/>
    </xf>
    <xf numFmtId="0" fontId="15" fillId="3" borderId="6" xfId="51" applyFont="1" applyFill="1" applyBorder="1" applyAlignment="1">
      <alignment horizontal="center" vertical="center"/>
    </xf>
    <xf numFmtId="0" fontId="15" fillId="3" borderId="1" xfId="51" applyFont="1" applyFill="1" applyBorder="1" applyAlignment="1">
      <alignment horizontal="center" vertical="center" wrapText="1"/>
    </xf>
    <xf numFmtId="0" fontId="14" fillId="3" borderId="11" xfId="51" applyFont="1" applyFill="1" applyBorder="1" applyAlignment="1">
      <alignment horizontal="center" vertical="center"/>
    </xf>
    <xf numFmtId="0" fontId="14" fillId="3" borderId="12" xfId="51" applyFont="1" applyFill="1" applyBorder="1" applyAlignment="1">
      <alignment horizontal="center" vertical="center"/>
    </xf>
    <xf numFmtId="176" fontId="17" fillId="4" borderId="13" xfId="51" applyNumberFormat="1" applyFont="1" applyFill="1" applyBorder="1" applyAlignment="1">
      <alignment horizontal="center" vertical="center"/>
    </xf>
    <xf numFmtId="0" fontId="18" fillId="4" borderId="14" xfId="51" applyFont="1" applyFill="1" applyBorder="1" applyAlignment="1">
      <alignment horizontal="left"/>
    </xf>
    <xf numFmtId="0" fontId="19" fillId="4" borderId="14" xfId="51" applyFont="1" applyFill="1" applyBorder="1"/>
    <xf numFmtId="0" fontId="19" fillId="4" borderId="14" xfId="51" applyFont="1" applyFill="1" applyBorder="1" applyAlignment="1">
      <alignment horizontal="right"/>
    </xf>
    <xf numFmtId="0" fontId="18" fillId="4" borderId="14" xfId="51" applyFont="1" applyFill="1" applyBorder="1" applyAlignment="1">
      <alignment vertical="top"/>
    </xf>
    <xf numFmtId="0" fontId="18" fillId="4" borderId="15" xfId="51" applyFont="1" applyFill="1" applyBorder="1" applyAlignment="1">
      <alignment vertical="center"/>
    </xf>
    <xf numFmtId="0" fontId="15" fillId="3" borderId="16" xfId="51" applyFont="1" applyFill="1" applyBorder="1" applyAlignment="1">
      <alignment horizontal="left" vertical="top"/>
    </xf>
    <xf numFmtId="0" fontId="14" fillId="3" borderId="17" xfId="51" applyFont="1" applyFill="1" applyBorder="1" applyAlignment="1">
      <alignment horizontal="center" vertical="top"/>
    </xf>
    <xf numFmtId="0" fontId="14" fillId="3" borderId="18" xfId="51" applyFont="1" applyFill="1" applyBorder="1" applyAlignment="1">
      <alignment horizontal="right" vertical="top"/>
    </xf>
    <xf numFmtId="0" fontId="16" fillId="5" borderId="0" xfId="51" applyFont="1" applyFill="1" applyBorder="1" applyAlignment="1">
      <alignment horizontal="right"/>
    </xf>
    <xf numFmtId="0" fontId="20" fillId="0" borderId="7" xfId="51" applyFont="1" applyBorder="1" applyAlignment="1">
      <alignment horizontal="center"/>
    </xf>
    <xf numFmtId="0" fontId="18" fillId="4" borderId="19" xfId="51" applyFont="1" applyFill="1" applyBorder="1" applyAlignment="1">
      <alignment vertical="center"/>
    </xf>
    <xf numFmtId="0" fontId="15" fillId="3" borderId="8" xfId="51" applyFont="1" applyFill="1" applyBorder="1" applyAlignment="1">
      <alignment horizontal="left" vertical="top"/>
    </xf>
    <xf numFmtId="0" fontId="14" fillId="3" borderId="9" xfId="51" applyFont="1" applyFill="1" applyBorder="1" applyAlignment="1">
      <alignment horizontal="center" vertical="top"/>
    </xf>
    <xf numFmtId="0" fontId="14" fillId="3" borderId="20" xfId="51" applyFont="1" applyFill="1" applyBorder="1" applyAlignment="1">
      <alignment horizontal="right" vertical="top"/>
    </xf>
    <xf numFmtId="0" fontId="20" fillId="0" borderId="1" xfId="51" applyFont="1" applyBorder="1" applyAlignment="1">
      <alignment horizontal="center"/>
    </xf>
    <xf numFmtId="0" fontId="15" fillId="3" borderId="9" xfId="51" applyFont="1" applyFill="1" applyBorder="1" applyAlignment="1">
      <alignment horizontal="center" vertical="top"/>
    </xf>
    <xf numFmtId="0" fontId="14" fillId="0" borderId="0" xfId="51" applyFont="1" applyBorder="1" applyAlignment="1">
      <alignment vertical="top"/>
    </xf>
    <xf numFmtId="0" fontId="14" fillId="3" borderId="20" xfId="51" applyFont="1" applyFill="1" applyBorder="1" applyAlignment="1">
      <alignment horizontal="left" vertical="top"/>
    </xf>
    <xf numFmtId="0" fontId="14" fillId="5" borderId="0" xfId="51" applyFont="1" applyFill="1" applyBorder="1" applyAlignment="1">
      <alignment horizontal="right"/>
    </xf>
    <xf numFmtId="49" fontId="14" fillId="3" borderId="20" xfId="51" applyNumberFormat="1" applyFont="1" applyFill="1" applyBorder="1" applyAlignment="1">
      <alignment horizontal="right" vertical="top"/>
    </xf>
    <xf numFmtId="49" fontId="21" fillId="3" borderId="20" xfId="53" applyNumberFormat="1" applyFont="1" applyFill="1" applyBorder="1" applyAlignment="1">
      <alignment horizontal="right" vertical="top"/>
    </xf>
    <xf numFmtId="49" fontId="21" fillId="3" borderId="20" xfId="53" applyNumberFormat="1" applyFont="1" applyFill="1" applyBorder="1" applyAlignment="1">
      <alignment horizontal="left" vertical="top"/>
    </xf>
    <xf numFmtId="0" fontId="15" fillId="3" borderId="21" xfId="51" applyFont="1" applyFill="1" applyBorder="1" applyAlignment="1">
      <alignment horizontal="left" vertical="top"/>
    </xf>
    <xf numFmtId="0" fontId="14" fillId="3" borderId="22" xfId="51" applyFont="1" applyFill="1" applyBorder="1" applyAlignment="1">
      <alignment horizontal="center" vertical="top"/>
    </xf>
    <xf numFmtId="49" fontId="21" fillId="3" borderId="24" xfId="53" applyNumberFormat="1" applyFont="1" applyFill="1" applyBorder="1" applyAlignment="1">
      <alignment horizontal="right" vertical="top"/>
    </xf>
    <xf numFmtId="0" fontId="20" fillId="0" borderId="23" xfId="51" applyFont="1" applyBorder="1" applyAlignment="1">
      <alignment horizontal="center"/>
    </xf>
    <xf numFmtId="49" fontId="14" fillId="3" borderId="24" xfId="51" applyNumberFormat="1" applyFont="1" applyFill="1" applyBorder="1" applyAlignment="1">
      <alignment horizontal="right" vertical="top"/>
    </xf>
    <xf numFmtId="0" fontId="15" fillId="3" borderId="25" xfId="51" applyFont="1" applyFill="1" applyBorder="1" applyAlignment="1">
      <alignment horizontal="left" vertical="top"/>
    </xf>
    <xf numFmtId="0" fontId="14" fillId="3" borderId="26" xfId="51" applyFont="1" applyFill="1" applyBorder="1" applyAlignment="1">
      <alignment horizontal="center" vertical="top"/>
    </xf>
    <xf numFmtId="49" fontId="14" fillId="3" borderId="27" xfId="51" applyNumberFormat="1" applyFont="1" applyFill="1" applyBorder="1" applyAlignment="1">
      <alignment horizontal="right" vertical="top"/>
    </xf>
    <xf numFmtId="0" fontId="14" fillId="5" borderId="28" xfId="51" applyFont="1" applyFill="1" applyBorder="1" applyAlignment="1">
      <alignment horizontal="right"/>
    </xf>
    <xf numFmtId="0" fontId="20" fillId="0" borderId="29" xfId="51" applyFont="1" applyBorder="1" applyAlignment="1">
      <alignment horizontal="center"/>
    </xf>
    <xf numFmtId="0" fontId="18" fillId="4" borderId="15" xfId="51" applyFont="1" applyFill="1" applyBorder="1" applyAlignment="1">
      <alignment vertical="top"/>
    </xf>
    <xf numFmtId="0" fontId="15" fillId="3" borderId="16" xfId="51" applyFont="1" applyFill="1" applyBorder="1" applyAlignment="1"/>
    <xf numFmtId="0" fontId="15" fillId="3" borderId="17" xfId="51" applyFont="1" applyFill="1" applyBorder="1" applyAlignment="1"/>
    <xf numFmtId="0" fontId="14" fillId="3" borderId="18" xfId="51" applyFont="1" applyFill="1" applyBorder="1" applyAlignment="1">
      <alignment horizontal="right"/>
    </xf>
    <xf numFmtId="0" fontId="14" fillId="5" borderId="7" xfId="51" applyFont="1" applyFill="1" applyBorder="1" applyAlignment="1">
      <alignment horizontal="left"/>
    </xf>
    <xf numFmtId="0" fontId="18" fillId="4" borderId="19" xfId="51" applyFont="1" applyFill="1" applyBorder="1" applyAlignment="1">
      <alignment vertical="top"/>
    </xf>
    <xf numFmtId="0" fontId="15" fillId="3" borderId="8" xfId="51" applyFont="1" applyFill="1" applyBorder="1" applyAlignment="1"/>
    <xf numFmtId="0" fontId="14" fillId="3" borderId="9" xfId="51" applyFont="1" applyFill="1" applyBorder="1" applyAlignment="1"/>
    <xf numFmtId="0" fontId="14" fillId="3" borderId="20" xfId="51" applyFont="1" applyFill="1" applyBorder="1" applyAlignment="1">
      <alignment horizontal="right"/>
    </xf>
    <xf numFmtId="0" fontId="14" fillId="5" borderId="1" xfId="51" applyFont="1" applyFill="1" applyBorder="1" applyAlignment="1">
      <alignment horizontal="left"/>
    </xf>
    <xf numFmtId="0" fontId="22" fillId="3" borderId="9" xfId="51" applyFont="1" applyFill="1" applyBorder="1" applyAlignment="1"/>
    <xf numFmtId="0" fontId="14" fillId="5" borderId="1" xfId="51" applyFont="1" applyFill="1" applyBorder="1"/>
    <xf numFmtId="0" fontId="15" fillId="3" borderId="21" xfId="51" applyFont="1" applyFill="1" applyBorder="1" applyAlignment="1"/>
    <xf numFmtId="0" fontId="22" fillId="3" borderId="22" xfId="51" applyFont="1" applyFill="1" applyBorder="1" applyAlignment="1"/>
    <xf numFmtId="0" fontId="14" fillId="3" borderId="24" xfId="51" applyFont="1" applyFill="1" applyBorder="1" applyAlignment="1">
      <alignment horizontal="right"/>
    </xf>
    <xf numFmtId="0" fontId="14" fillId="5" borderId="23" xfId="51" applyFont="1" applyFill="1" applyBorder="1"/>
    <xf numFmtId="0" fontId="14" fillId="3" borderId="22" xfId="51" applyFont="1" applyFill="1" applyBorder="1" applyAlignment="1"/>
    <xf numFmtId="0" fontId="14" fillId="5" borderId="23" xfId="51" applyFont="1" applyFill="1" applyBorder="1" applyAlignment="1">
      <alignment horizontal="left"/>
    </xf>
    <xf numFmtId="0" fontId="14" fillId="0" borderId="30" xfId="51" applyFont="1" applyBorder="1" applyAlignment="1">
      <alignment horizontal="left"/>
    </xf>
    <xf numFmtId="0" fontId="14" fillId="0" borderId="30" xfId="51" applyFont="1" applyBorder="1" applyAlignment="1">
      <alignment horizontal="center"/>
    </xf>
    <xf numFmtId="0" fontId="14" fillId="0" borderId="1" xfId="51" applyFont="1" applyBorder="1" applyAlignment="1">
      <alignment horizontal="left"/>
    </xf>
    <xf numFmtId="0" fontId="23" fillId="0" borderId="1" xfId="51" applyFont="1" applyBorder="1" applyAlignment="1">
      <alignment horizontal="left"/>
    </xf>
    <xf numFmtId="0" fontId="14" fillId="0" borderId="1" xfId="51" applyFont="1" applyBorder="1" applyAlignment="1">
      <alignment horizontal="center"/>
    </xf>
    <xf numFmtId="0" fontId="14" fillId="0" borderId="1" xfId="51" applyFont="1" applyBorder="1" applyAlignment="1">
      <alignment horizontal="left" vertical="top"/>
    </xf>
    <xf numFmtId="0" fontId="14" fillId="0" borderId="1" xfId="51" applyFont="1" applyBorder="1"/>
    <xf numFmtId="177" fontId="14" fillId="0" borderId="1" xfId="51" applyNumberFormat="1" applyFont="1" applyBorder="1" applyAlignment="1">
      <alignment vertical="top"/>
    </xf>
    <xf numFmtId="0" fontId="18" fillId="4" borderId="31" xfId="51" applyFont="1" applyFill="1" applyBorder="1" applyAlignment="1">
      <alignment vertical="top"/>
    </xf>
    <xf numFmtId="0" fontId="14" fillId="0" borderId="29" xfId="51" applyFont="1" applyBorder="1" applyAlignment="1">
      <alignment horizontal="left" vertical="top"/>
    </xf>
    <xf numFmtId="0" fontId="14" fillId="0" borderId="29" xfId="51" applyFont="1" applyBorder="1"/>
    <xf numFmtId="0" fontId="14" fillId="0" borderId="29" xfId="51" applyFont="1" applyBorder="1" applyAlignment="1"/>
    <xf numFmtId="0" fontId="18" fillId="0" borderId="0" xfId="51" applyFont="1" applyBorder="1" applyAlignment="1">
      <alignment vertical="top"/>
    </xf>
    <xf numFmtId="49" fontId="14" fillId="3" borderId="32" xfId="50" applyNumberFormat="1" applyFont="1" applyFill="1" applyBorder="1" applyAlignment="1">
      <alignment horizontal="center" wrapText="1"/>
    </xf>
    <xf numFmtId="0" fontId="16" fillId="3" borderId="17" xfId="50" applyFont="1" applyFill="1" applyBorder="1" applyAlignment="1">
      <alignment horizontal="left" wrapText="1"/>
    </xf>
    <xf numFmtId="0" fontId="16" fillId="3" borderId="17" xfId="50" applyFont="1" applyFill="1" applyBorder="1" applyAlignment="1">
      <alignment wrapText="1"/>
    </xf>
    <xf numFmtId="0" fontId="14" fillId="3" borderId="10" xfId="50" applyFont="1" applyFill="1" applyBorder="1" applyAlignment="1">
      <alignment horizontal="center" wrapText="1"/>
    </xf>
    <xf numFmtId="0" fontId="15" fillId="3" borderId="9" xfId="51" applyFont="1" applyFill="1" applyBorder="1" applyAlignment="1">
      <alignment horizontal="center" vertical="center" wrapText="1"/>
    </xf>
    <xf numFmtId="0" fontId="15" fillId="3" borderId="10" xfId="51" applyFont="1" applyFill="1" applyBorder="1" applyAlignment="1">
      <alignment horizontal="center" vertical="center" wrapText="1"/>
    </xf>
    <xf numFmtId="0" fontId="14" fillId="3" borderId="33" xfId="51" applyFont="1" applyFill="1" applyBorder="1" applyAlignment="1">
      <alignment horizontal="center" vertical="center"/>
    </xf>
    <xf numFmtId="0" fontId="14" fillId="3" borderId="34" xfId="51" applyFont="1" applyFill="1" applyBorder="1" applyAlignment="1">
      <alignment horizontal="center" vertical="center"/>
    </xf>
    <xf numFmtId="49" fontId="20" fillId="0" borderId="1" xfId="51" applyNumberFormat="1" applyFont="1" applyBorder="1" applyAlignment="1">
      <alignment horizontal="center"/>
    </xf>
    <xf numFmtId="49" fontId="14" fillId="0" borderId="0" xfId="51" applyNumberFormat="1" applyFont="1"/>
    <xf numFmtId="0" fontId="16" fillId="3" borderId="42" xfId="50" applyFont="1" applyFill="1" applyBorder="1" applyAlignment="1">
      <alignment wrapText="1"/>
    </xf>
    <xf numFmtId="0" fontId="14" fillId="0" borderId="35" xfId="51" applyFont="1" applyBorder="1"/>
    <xf numFmtId="0" fontId="18" fillId="4" borderId="36" xfId="51" applyFont="1" applyFill="1" applyBorder="1" applyAlignment="1">
      <alignment vertical="top"/>
    </xf>
    <xf numFmtId="0" fontId="15" fillId="0" borderId="0" xfId="51" applyFont="1"/>
    <xf numFmtId="49" fontId="14" fillId="0" borderId="0" xfId="51" applyNumberFormat="1" applyFont="1" applyBorder="1"/>
    <xf numFmtId="0" fontId="14" fillId="0" borderId="0" xfId="51" applyFont="1" applyBorder="1"/>
    <xf numFmtId="0" fontId="20" fillId="0" borderId="37" xfId="51" applyFont="1" applyBorder="1" applyAlignment="1">
      <alignment horizontal="center"/>
    </xf>
    <xf numFmtId="0" fontId="20" fillId="0" borderId="38" xfId="51" applyFont="1" applyBorder="1" applyAlignment="1">
      <alignment horizontal="center"/>
    </xf>
    <xf numFmtId="0" fontId="15" fillId="0" borderId="0" xfId="51" applyFont="1" applyAlignment="1">
      <alignment horizontal="center"/>
    </xf>
    <xf numFmtId="0" fontId="20" fillId="0" borderId="39" xfId="51" applyFont="1" applyBorder="1" applyAlignment="1">
      <alignment horizontal="center"/>
    </xf>
    <xf numFmtId="0" fontId="20" fillId="0" borderId="40" xfId="51" applyFont="1" applyBorder="1" applyAlignment="1">
      <alignment horizontal="center"/>
    </xf>
    <xf numFmtId="0" fontId="14" fillId="0" borderId="41" xfId="51" applyFont="1" applyBorder="1" applyAlignment="1">
      <alignment horizontal="center"/>
    </xf>
    <xf numFmtId="0" fontId="14" fillId="0" borderId="38" xfId="51" applyFont="1" applyBorder="1" applyAlignment="1">
      <alignment horizontal="center"/>
    </xf>
    <xf numFmtId="177" fontId="14" fillId="0" borderId="38" xfId="51" applyNumberFormat="1" applyFont="1" applyBorder="1" applyAlignment="1">
      <alignment vertical="top"/>
    </xf>
    <xf numFmtId="0" fontId="14" fillId="0" borderId="40" xfId="51" applyFont="1" applyBorder="1" applyAlignment="1"/>
    <xf numFmtId="0" fontId="0" fillId="0" borderId="9" xfId="0" applyFont="1" applyBorder="1" applyAlignment="1">
      <alignment horizontal="right" vertical="center"/>
    </xf>
    <xf numFmtId="0" fontId="0" fillId="0" borderId="0" xfId="0" applyFont="1" applyAlignment="1">
      <alignment horizontal="right"/>
    </xf>
    <xf numFmtId="49" fontId="24" fillId="3" borderId="24" xfId="53" applyNumberFormat="1" applyFont="1" applyFill="1" applyBorder="1" applyAlignment="1">
      <alignment horizontal="right" vertical="top"/>
    </xf>
    <xf numFmtId="49" fontId="21" fillId="3" borderId="27" xfId="53" applyNumberFormat="1" applyFill="1" applyBorder="1" applyAlignment="1">
      <alignment horizontal="right" vertical="top"/>
    </xf>
    <xf numFmtId="0" fontId="25" fillId="3" borderId="20" xfId="51" applyFont="1" applyFill="1" applyBorder="1" applyAlignment="1">
      <alignment horizontal="right"/>
    </xf>
    <xf numFmtId="0" fontId="16" fillId="3" borderId="8" xfId="50" applyFont="1" applyFill="1" applyBorder="1" applyAlignment="1">
      <alignment horizontal="left" wrapText="1"/>
    </xf>
    <xf numFmtId="0" fontId="26" fillId="3" borderId="0" xfId="51" applyFont="1" applyFill="1"/>
    <xf numFmtId="0" fontId="27" fillId="3" borderId="0" xfId="49" applyFont="1" applyFill="1" applyBorder="1" applyAlignment="1">
      <alignment horizontal="center"/>
    </xf>
    <xf numFmtId="0" fontId="28" fillId="3" borderId="0" xfId="49" applyFont="1" applyFill="1" applyBorder="1"/>
    <xf numFmtId="0" fontId="26" fillId="3" borderId="0" xfId="49" applyFont="1" applyFill="1" applyBorder="1"/>
    <xf numFmtId="0" fontId="28" fillId="3" borderId="1" xfId="51" applyFont="1" applyFill="1" applyBorder="1" applyAlignment="1">
      <alignment horizontal="left" vertical="center"/>
    </xf>
    <xf numFmtId="0" fontId="29" fillId="3" borderId="1" xfId="51" applyFont="1" applyFill="1" applyBorder="1" applyAlignment="1">
      <alignment horizontal="left"/>
    </xf>
    <xf numFmtId="0" fontId="28" fillId="3" borderId="1" xfId="51" applyFont="1" applyFill="1" applyBorder="1" applyAlignment="1">
      <alignment horizontal="left"/>
    </xf>
    <xf numFmtId="0" fontId="28" fillId="3" borderId="1" xfId="51" applyFont="1" applyFill="1" applyBorder="1" applyAlignment="1">
      <alignment horizontal="center"/>
    </xf>
    <xf numFmtId="0" fontId="28" fillId="3" borderId="1" xfId="51" applyFont="1" applyFill="1" applyBorder="1" applyAlignment="1">
      <alignment vertical="center"/>
    </xf>
    <xf numFmtId="178" fontId="29" fillId="3" borderId="1" xfId="51" applyNumberFormat="1" applyFont="1" applyFill="1" applyBorder="1" applyAlignment="1">
      <alignment horizontal="left" vertical="top"/>
    </xf>
    <xf numFmtId="0" fontId="29" fillId="3" borderId="1" xfId="49" applyFont="1" applyFill="1" applyBorder="1" applyAlignment="1">
      <alignment vertical="top"/>
    </xf>
    <xf numFmtId="0" fontId="30" fillId="3" borderId="0" xfId="51" applyFont="1" applyFill="1"/>
    <xf numFmtId="0" fontId="31" fillId="3" borderId="0" xfId="49" applyFont="1" applyFill="1" applyBorder="1"/>
    <xf numFmtId="0" fontId="26" fillId="3" borderId="0" xfId="51" applyFont="1" applyFill="1" applyBorder="1"/>
    <xf numFmtId="0" fontId="17" fillId="4" borderId="43" xfId="51" applyFont="1" applyFill="1" applyBorder="1" applyAlignment="1">
      <alignment horizontal="center"/>
    </xf>
    <xf numFmtId="0" fontId="17" fillId="4" borderId="44" xfId="51" applyFont="1" applyFill="1" applyBorder="1" applyAlignment="1">
      <alignment horizontal="center"/>
    </xf>
    <xf numFmtId="0" fontId="17" fillId="4" borderId="44" xfId="51" applyFont="1" applyFill="1" applyBorder="1" applyAlignment="1">
      <alignment horizontal="center" wrapText="1"/>
    </xf>
    <xf numFmtId="0" fontId="17" fillId="4" borderId="45" xfId="51" applyFont="1" applyFill="1" applyBorder="1" applyAlignment="1">
      <alignment horizontal="center"/>
    </xf>
    <xf numFmtId="0" fontId="26" fillId="3" borderId="46" xfId="51" applyFont="1" applyFill="1" applyBorder="1" applyAlignment="1">
      <alignment horizontal="center"/>
    </xf>
    <xf numFmtId="49" fontId="21" fillId="3" borderId="47" xfId="53" applyNumberFormat="1" applyFont="1" applyFill="1" applyBorder="1" applyAlignment="1"/>
    <xf numFmtId="0" fontId="26" fillId="3" borderId="47" xfId="51" applyFont="1" applyFill="1" applyBorder="1" applyAlignment="1">
      <alignment horizontal="center"/>
    </xf>
    <xf numFmtId="0" fontId="26" fillId="3" borderId="48" xfId="51" applyFont="1" applyFill="1" applyBorder="1" applyAlignment="1">
      <alignment horizontal="center"/>
    </xf>
    <xf numFmtId="49" fontId="32" fillId="3" borderId="47" xfId="53" applyNumberFormat="1" applyFont="1" applyFill="1" applyBorder="1" applyAlignment="1"/>
    <xf numFmtId="0" fontId="33" fillId="4" borderId="49" xfId="51" applyFont="1" applyFill="1" applyBorder="1" applyAlignment="1">
      <alignment horizontal="center"/>
    </xf>
    <xf numFmtId="0" fontId="34" fillId="4" borderId="0" xfId="0" applyFont="1" applyFill="1">
      <alignment vertical="center"/>
    </xf>
    <xf numFmtId="0" fontId="33" fillId="4" borderId="50" xfId="51" applyFont="1" applyFill="1" applyBorder="1" applyAlignment="1">
      <alignment horizontal="center"/>
    </xf>
    <xf numFmtId="0" fontId="26" fillId="3" borderId="0" xfId="51" applyFont="1" applyFill="1" applyBorder="1" applyAlignment="1">
      <alignment horizontal="center"/>
    </xf>
    <xf numFmtId="10" fontId="26" fillId="3" borderId="0" xfId="51" applyNumberFormat="1" applyFont="1" applyFill="1" applyBorder="1" applyAlignment="1">
      <alignment horizontal="center"/>
    </xf>
    <xf numFmtId="9" fontId="26" fillId="3" borderId="0" xfId="51" applyNumberFormat="1" applyFont="1" applyFill="1" applyBorder="1" applyAlignment="1">
      <alignment horizontal="center"/>
    </xf>
    <xf numFmtId="0" fontId="28" fillId="3" borderId="0" xfId="51" applyFont="1" applyFill="1" applyBorder="1" applyAlignment="1">
      <alignment horizontal="left"/>
    </xf>
    <xf numFmtId="2" fontId="28" fillId="3" borderId="0" xfId="51" applyNumberFormat="1" applyFont="1" applyFill="1" applyBorder="1" applyAlignment="1">
      <alignment horizontal="right" wrapText="1"/>
    </xf>
    <xf numFmtId="176" fontId="26" fillId="3" borderId="0" xfId="49" applyNumberFormat="1" applyFont="1" applyFill="1" applyBorder="1"/>
    <xf numFmtId="0" fontId="17" fillId="4" borderId="51" xfId="51" applyFont="1" applyFill="1" applyBorder="1" applyAlignment="1">
      <alignment horizontal="center" wrapText="1"/>
    </xf>
    <xf numFmtId="0" fontId="35" fillId="3" borderId="0" xfId="51" applyFont="1" applyFill="1" applyBorder="1" applyAlignment="1">
      <alignment horizontal="center" wrapText="1"/>
    </xf>
    <xf numFmtId="1" fontId="26" fillId="3" borderId="0" xfId="51" applyNumberFormat="1" applyFont="1" applyFill="1"/>
    <xf numFmtId="0" fontId="26" fillId="3" borderId="0" xfId="51" applyFont="1" applyFill="1" applyAlignment="1">
      <alignment horizontal="left"/>
    </xf>
    <xf numFmtId="0" fontId="26" fillId="3" borderId="0" xfId="51" applyFont="1" applyFill="1" applyAlignment="1">
      <alignment horizontal="left" wrapText="1"/>
    </xf>
    <xf numFmtId="0" fontId="27" fillId="3" borderId="0" xfId="51" applyFont="1" applyFill="1" applyAlignment="1">
      <alignment horizontal="left"/>
    </xf>
    <xf numFmtId="0" fontId="36" fillId="3" borderId="0" xfId="51" applyFont="1" applyFill="1" applyAlignment="1">
      <alignment horizontal="left"/>
    </xf>
    <xf numFmtId="0" fontId="37" fillId="3" borderId="0" xfId="51" applyFont="1" applyFill="1" applyAlignment="1">
      <alignment horizontal="left"/>
    </xf>
    <xf numFmtId="1" fontId="28" fillId="3" borderId="8" xfId="51" applyNumberFormat="1" applyFont="1" applyFill="1" applyBorder="1" applyAlignment="1"/>
    <xf numFmtId="1" fontId="28" fillId="3" borderId="1" xfId="51" applyNumberFormat="1" applyFont="1" applyFill="1" applyBorder="1" applyAlignment="1">
      <alignment horizontal="left"/>
    </xf>
    <xf numFmtId="0" fontId="29" fillId="3" borderId="8" xfId="51" applyFont="1" applyFill="1" applyBorder="1" applyAlignment="1">
      <alignment horizontal="left"/>
    </xf>
    <xf numFmtId="0" fontId="29" fillId="3" borderId="9" xfId="51" applyFont="1" applyFill="1" applyBorder="1" applyAlignment="1">
      <alignment horizontal="left"/>
    </xf>
    <xf numFmtId="0" fontId="29" fillId="3" borderId="20" xfId="51" applyFont="1" applyFill="1" applyBorder="1" applyAlignment="1">
      <alignment horizontal="left"/>
    </xf>
    <xf numFmtId="1" fontId="28" fillId="3" borderId="1" xfId="51" applyNumberFormat="1" applyFont="1" applyFill="1" applyBorder="1" applyAlignment="1">
      <alignment vertical="center" wrapText="1"/>
    </xf>
    <xf numFmtId="0" fontId="29" fillId="3" borderId="1" xfId="51" applyFont="1" applyFill="1" applyBorder="1" applyAlignment="1">
      <alignment horizontal="left" vertical="top" wrapText="1"/>
    </xf>
    <xf numFmtId="1" fontId="30" fillId="3" borderId="0" xfId="51" applyNumberFormat="1" applyFont="1" applyFill="1" applyBorder="1" applyAlignment="1"/>
    <xf numFmtId="0" fontId="26" fillId="3" borderId="0" xfId="51" applyFont="1" applyFill="1" applyBorder="1" applyAlignment="1"/>
    <xf numFmtId="0" fontId="26" fillId="3" borderId="0" xfId="51" applyFont="1" applyFill="1" applyBorder="1" applyAlignment="1">
      <alignment wrapText="1"/>
    </xf>
    <xf numFmtId="1" fontId="26" fillId="3" borderId="0" xfId="51" applyNumberFormat="1" applyFont="1" applyFill="1" applyAlignment="1">
      <alignment vertical="center"/>
    </xf>
    <xf numFmtId="0" fontId="26" fillId="3" borderId="0" xfId="51" applyFont="1" applyFill="1" applyAlignment="1">
      <alignment horizontal="left" vertical="center"/>
    </xf>
    <xf numFmtId="0" fontId="26" fillId="3" borderId="0" xfId="51" applyFont="1" applyFill="1" applyAlignment="1">
      <alignment horizontal="left" vertical="center" wrapText="1"/>
    </xf>
    <xf numFmtId="1" fontId="17" fillId="6" borderId="52" xfId="51" applyNumberFormat="1" applyFont="1" applyFill="1" applyBorder="1" applyAlignment="1">
      <alignment horizontal="center" vertical="center"/>
    </xf>
    <xf numFmtId="1" fontId="17" fillId="6" borderId="43" xfId="51" applyNumberFormat="1" applyFont="1" applyFill="1" applyBorder="1" applyAlignment="1">
      <alignment horizontal="center" vertical="center" wrapText="1"/>
    </xf>
    <xf numFmtId="1" fontId="17" fillId="6" borderId="43" xfId="51" applyNumberFormat="1" applyFont="1" applyFill="1" applyBorder="1" applyAlignment="1">
      <alignment horizontal="center" vertical="center"/>
    </xf>
    <xf numFmtId="0" fontId="17" fillId="6" borderId="44" xfId="51" applyFont="1" applyFill="1" applyBorder="1" applyAlignment="1">
      <alignment horizontal="center" vertical="center"/>
    </xf>
    <xf numFmtId="0" fontId="17" fillId="6" borderId="44" xfId="51" applyFont="1" applyFill="1" applyBorder="1" applyAlignment="1">
      <alignment horizontal="center" vertical="center" wrapText="1"/>
    </xf>
    <xf numFmtId="0" fontId="17" fillId="6" borderId="45" xfId="51" applyFont="1" applyFill="1" applyBorder="1" applyAlignment="1">
      <alignment horizontal="center" vertical="center"/>
    </xf>
    <xf numFmtId="0" fontId="17" fillId="6" borderId="53" xfId="51" applyFont="1" applyFill="1" applyBorder="1" applyAlignment="1">
      <alignment horizontal="center" vertical="center"/>
    </xf>
    <xf numFmtId="1" fontId="26" fillId="3" borderId="54" xfId="51" applyNumberFormat="1" applyFont="1" applyFill="1" applyBorder="1" applyAlignment="1">
      <alignment horizontal="center" vertical="center"/>
    </xf>
    <xf numFmtId="1" fontId="26" fillId="3" borderId="46" xfId="51" applyNumberFormat="1" applyFont="1" applyFill="1" applyBorder="1" applyAlignment="1">
      <alignment vertical="center"/>
    </xf>
    <xf numFmtId="49" fontId="26" fillId="3" borderId="47" xfId="51" applyNumberFormat="1" applyFont="1" applyFill="1" applyBorder="1" applyAlignment="1">
      <alignment horizontal="left" vertical="center"/>
    </xf>
    <xf numFmtId="49" fontId="26" fillId="3" borderId="47" xfId="51" applyNumberFormat="1" applyFont="1" applyFill="1" applyBorder="1" applyAlignment="1">
      <alignment horizontal="left" vertical="center" wrapText="1"/>
    </xf>
    <xf numFmtId="0" fontId="21" fillId="3" borderId="47" xfId="53" applyFont="1" applyFill="1" applyBorder="1" applyAlignment="1">
      <alignment horizontal="left" vertical="center"/>
    </xf>
    <xf numFmtId="0" fontId="38" fillId="3" borderId="47" xfId="53" applyFont="1" applyFill="1" applyBorder="1" applyAlignment="1">
      <alignment horizontal="left" vertical="center"/>
    </xf>
    <xf numFmtId="0" fontId="26" fillId="3" borderId="55" xfId="51" applyFont="1" applyFill="1" applyBorder="1" applyAlignment="1">
      <alignment horizontal="left" vertical="center"/>
    </xf>
    <xf numFmtId="0" fontId="26" fillId="3" borderId="47" xfId="51" applyFont="1" applyFill="1" applyBorder="1" applyAlignment="1">
      <alignment horizontal="left" vertical="center"/>
    </xf>
    <xf numFmtId="1" fontId="26" fillId="3" borderId="56" xfId="51" applyNumberFormat="1" applyFont="1" applyFill="1" applyBorder="1" applyAlignment="1">
      <alignment horizontal="center" vertical="center"/>
    </xf>
    <xf numFmtId="1" fontId="26" fillId="3" borderId="49" xfId="51" applyNumberFormat="1" applyFont="1" applyFill="1" applyBorder="1" applyAlignment="1">
      <alignment vertical="center"/>
    </xf>
    <xf numFmtId="49" fontId="26" fillId="3" borderId="50" xfId="51" applyNumberFormat="1" applyFont="1" applyFill="1" applyBorder="1" applyAlignment="1">
      <alignment horizontal="left" vertical="center"/>
    </xf>
    <xf numFmtId="49" fontId="26" fillId="3" borderId="50" xfId="51" applyNumberFormat="1" applyFont="1" applyFill="1" applyBorder="1" applyAlignment="1">
      <alignment horizontal="left" vertical="center" wrapText="1"/>
    </xf>
    <xf numFmtId="0" fontId="26" fillId="3" borderId="50" xfId="51" applyFont="1" applyFill="1" applyBorder="1" applyAlignment="1">
      <alignment horizontal="left" vertical="center"/>
    </xf>
    <xf numFmtId="0" fontId="26" fillId="3" borderId="57" xfId="51" applyFont="1" applyFill="1" applyBorder="1" applyAlignment="1">
      <alignment horizontal="left" vertical="center"/>
    </xf>
    <xf numFmtId="0" fontId="26" fillId="0" borderId="0" xfId="51" applyFont="1" applyAlignment="1">
      <alignment horizontal="left"/>
    </xf>
    <xf numFmtId="0" fontId="26" fillId="0" borderId="0" xfId="51" applyFont="1"/>
    <xf numFmtId="0" fontId="39" fillId="0" borderId="8" xfId="51" applyFont="1" applyBorder="1" applyAlignment="1">
      <alignment horizontal="center" vertical="center"/>
    </xf>
    <xf numFmtId="0" fontId="27" fillId="0" borderId="1" xfId="51" applyFont="1" applyBorder="1" applyAlignment="1">
      <alignment horizontal="center" vertical="center"/>
    </xf>
    <xf numFmtId="0" fontId="30" fillId="3" borderId="0" xfId="51" applyFont="1" applyFill="1" applyAlignment="1">
      <alignment horizontal="left"/>
    </xf>
    <xf numFmtId="0" fontId="31" fillId="0" borderId="0" xfId="51" applyFont="1" applyAlignment="1">
      <alignment horizontal="left"/>
    </xf>
    <xf numFmtId="0" fontId="29" fillId="0" borderId="1" xfId="51" applyFont="1" applyBorder="1" applyAlignment="1">
      <alignment horizontal="left"/>
    </xf>
    <xf numFmtId="0" fontId="26" fillId="0" borderId="20" xfId="51" applyFont="1" applyBorder="1" applyAlignment="1"/>
    <xf numFmtId="0" fontId="29" fillId="0" borderId="1" xfId="51" applyFont="1" applyBorder="1" applyAlignment="1">
      <alignment horizontal="left" vertical="center"/>
    </xf>
    <xf numFmtId="0" fontId="29" fillId="0" borderId="20" xfId="51" applyFont="1" applyBorder="1" applyAlignment="1"/>
    <xf numFmtId="179" fontId="29" fillId="0" borderId="20" xfId="51" applyNumberFormat="1" applyFont="1" applyBorder="1" applyAlignment="1">
      <alignment horizontal="left"/>
    </xf>
    <xf numFmtId="0" fontId="28" fillId="0" borderId="0" xfId="51" applyFont="1" applyBorder="1"/>
    <xf numFmtId="0" fontId="31" fillId="0" borderId="0" xfId="51" applyFont="1" applyBorder="1" applyAlignment="1">
      <alignment horizontal="left"/>
    </xf>
    <xf numFmtId="0" fontId="26" fillId="0" borderId="0" xfId="51" applyFont="1" applyBorder="1" applyAlignment="1"/>
    <xf numFmtId="0" fontId="30" fillId="0" borderId="0" xfId="51" applyFont="1" applyBorder="1" applyAlignment="1">
      <alignment horizontal="left"/>
    </xf>
    <xf numFmtId="0" fontId="26" fillId="0" borderId="0" xfId="51" applyFont="1" applyBorder="1"/>
    <xf numFmtId="0" fontId="28" fillId="0" borderId="0" xfId="51" applyFont="1" applyAlignment="1">
      <alignment horizontal="left"/>
    </xf>
    <xf numFmtId="176" fontId="17" fillId="4" borderId="52" xfId="51" applyNumberFormat="1" applyFont="1" applyFill="1" applyBorder="1" applyAlignment="1">
      <alignment horizontal="center" vertical="center"/>
    </xf>
    <xf numFmtId="0" fontId="17" fillId="4" borderId="44" xfId="51" applyFont="1" applyFill="1" applyBorder="1" applyAlignment="1">
      <alignment horizontal="center" vertical="center"/>
    </xf>
    <xf numFmtId="0" fontId="17" fillId="4" borderId="53" xfId="51" applyFont="1" applyFill="1" applyBorder="1" applyAlignment="1">
      <alignment horizontal="center" vertical="center"/>
    </xf>
    <xf numFmtId="49" fontId="26" fillId="0" borderId="47" xfId="51" applyNumberFormat="1" applyFont="1" applyBorder="1" applyAlignment="1">
      <alignment vertical="top"/>
    </xf>
    <xf numFmtId="0" fontId="26" fillId="0" borderId="47" xfId="51" applyFont="1" applyBorder="1" applyAlignment="1">
      <alignment vertical="top"/>
    </xf>
    <xf numFmtId="180" fontId="26" fillId="0" borderId="47" xfId="51" applyNumberFormat="1" applyFont="1" applyBorder="1" applyAlignment="1">
      <alignment vertical="top"/>
    </xf>
    <xf numFmtId="0" fontId="29" fillId="0" borderId="55" xfId="51" applyFont="1" applyBorder="1" applyAlignment="1">
      <alignment vertical="top" wrapText="1"/>
    </xf>
    <xf numFmtId="0" fontId="26" fillId="0" borderId="55" xfId="51" applyFont="1" applyBorder="1" applyAlignment="1">
      <alignment vertical="top"/>
    </xf>
    <xf numFmtId="176" fontId="26" fillId="0" borderId="54" xfId="51" applyNumberFormat="1" applyFont="1" applyBorder="1" applyAlignment="1">
      <alignment vertical="top"/>
    </xf>
    <xf numFmtId="176" fontId="26" fillId="0" borderId="56" xfId="51" applyNumberFormat="1" applyFont="1" applyBorder="1" applyAlignment="1">
      <alignment vertical="top"/>
    </xf>
    <xf numFmtId="49" fontId="26" fillId="0" borderId="50" xfId="51" applyNumberFormat="1" applyFont="1" applyBorder="1" applyAlignment="1">
      <alignment vertical="top"/>
    </xf>
    <xf numFmtId="0" fontId="26" fillId="0" borderId="50" xfId="51" applyFont="1" applyBorder="1" applyAlignment="1">
      <alignment vertical="top"/>
    </xf>
    <xf numFmtId="0" fontId="26" fillId="0" borderId="57" xfId="51" applyFont="1" applyBorder="1" applyAlignment="1">
      <alignment vertical="top"/>
    </xf>
    <xf numFmtId="0" fontId="22" fillId="7" borderId="0" xfId="0" applyFont="1" applyFill="1">
      <alignment vertical="center"/>
    </xf>
    <xf numFmtId="0" fontId="40" fillId="7" borderId="0" xfId="0" applyFont="1" applyFill="1" applyAlignment="1">
      <alignment horizontal="center"/>
    </xf>
    <xf numFmtId="0" fontId="20" fillId="7" borderId="0" xfId="0" applyFont="1" applyFill="1" applyAlignment="1">
      <alignment horizontal="justify"/>
    </xf>
    <xf numFmtId="0" fontId="26" fillId="7" borderId="0" xfId="0" applyFont="1" applyFill="1" applyAlignment="1">
      <alignment horizontal="justify"/>
    </xf>
    <xf numFmtId="0" fontId="26" fillId="7" borderId="0" xfId="0" applyFont="1" applyFill="1" applyAlignment="1">
      <alignment horizontal="justify" wrapText="1"/>
    </xf>
    <xf numFmtId="0" fontId="26" fillId="7" borderId="0" xfId="0" applyFont="1" applyFill="1" applyAlignment="1">
      <alignment horizontal="left" wrapText="1"/>
    </xf>
    <xf numFmtId="0" fontId="29" fillId="7" borderId="0" xfId="0" applyFont="1" applyFill="1" applyAlignment="1">
      <alignment horizontal="justify"/>
    </xf>
    <xf numFmtId="0" fontId="28" fillId="7" borderId="0" xfId="0" applyFont="1" applyFill="1" applyAlignment="1">
      <alignment horizontal="justify"/>
    </xf>
    <xf numFmtId="0" fontId="41" fillId="7" borderId="0" xfId="0" applyFont="1" applyFill="1">
      <alignment vertical="center"/>
    </xf>
    <xf numFmtId="0" fontId="22" fillId="7" borderId="0" xfId="0" applyFont="1" applyFill="1" applyAlignment="1">
      <alignment vertical="center" wrapText="1"/>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_Functional Test Case v1.0" xfId="49"/>
    <cellStyle name="Normal_Sheet1" xfId="50"/>
    <cellStyle name="Normal_Template_UnitTest Case_v0.9" xfId="51"/>
    <cellStyle name="標準_結合試験(AllOvertheWorld)" xfId="52"/>
    <cellStyle name="*unknown*" xfId="53"/>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GB" sz="1800" b="1" i="0" u="none" strike="noStrike" kern="1200" baseline="0">
                <a:solidFill>
                  <a:schemeClr val="tx1"/>
                </a:solidFill>
                <a:latin typeface="+mn-lt"/>
                <a:ea typeface="+mn-ea"/>
                <a:cs typeface="+mn-cs"/>
              </a:defRPr>
            </a:pPr>
            <a:r>
              <a:rPr sz="900" b="1" u="none">
                <a:solidFill>
                  <a:srgbClr val="000000"/>
                </a:solidFill>
                <a:latin typeface="MS PGothic" panose="020B0600070205080204" charset="-128"/>
                <a:ea typeface="MS PGothic" panose="020B0600070205080204" charset="-128"/>
                <a:cs typeface="MS PGothic" panose="020B0600070205080204" charset="-128"/>
              </a:rPr>
              <a:t>Test Type</a:t>
            </a:r>
            <a:endParaRPr sz="900" b="1" u="none">
              <a:solidFill>
                <a:srgbClr val="000000"/>
              </a:solidFill>
              <a:latin typeface="MS PGothic" panose="020B0600070205080204" charset="-128"/>
              <a:ea typeface="MS PGothic" panose="020B0600070205080204" charset="-128"/>
              <a:cs typeface="MS PGothic" panose="020B0600070205080204" charset="-128"/>
            </a:endParaRPr>
          </a:p>
        </c:rich>
      </c:tx>
      <c:layout/>
      <c:overlay val="0"/>
    </c:title>
    <c:autoTitleDeleted val="0"/>
    <c:plotArea>
      <c:layout/>
      <c:pieChart>
        <c:varyColors val="1"/>
        <c:ser>
          <c:idx val="0"/>
          <c:order val="0"/>
          <c:spPr>
            <a:solidFill>
              <a:srgbClr val="9999FF"/>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Report'!$F$11:$H$11</c:f>
              <c:strCache>
                <c:ptCount val="3"/>
                <c:pt idx="0">
                  <c:v>N</c:v>
                </c:pt>
                <c:pt idx="1">
                  <c:v>A</c:v>
                </c:pt>
                <c:pt idx="2">
                  <c:v>B</c:v>
                </c:pt>
              </c:strCache>
            </c:strRef>
          </c:cat>
          <c:val>
            <c:numRef>
              <c:f>'Test Report'!$F$24:$H$24</c:f>
              <c:numCache>
                <c:formatCode>General</c:formatCode>
                <c:ptCount val="3"/>
                <c:pt idx="0">
                  <c:v>71</c:v>
                </c:pt>
                <c:pt idx="1">
                  <c:v>0</c:v>
                </c:pt>
                <c:pt idx="2">
                  <c:v>0</c:v>
                </c:pt>
              </c:numCache>
            </c:numRef>
          </c:val>
        </c:ser>
        <c:ser>
          <c:idx val="1"/>
          <c:order val="1"/>
          <c:spPr>
            <a:solidFill>
              <a:srgbClr val="993366"/>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Report'!$F$11:$H$11</c:f>
              <c:strCache>
                <c:ptCount val="3"/>
                <c:pt idx="0">
                  <c:v>N</c:v>
                </c:pt>
                <c:pt idx="1">
                  <c:v>A</c:v>
                </c:pt>
                <c:pt idx="2">
                  <c:v>B</c:v>
                </c:pt>
              </c:strCache>
            </c:strRef>
          </c:cat>
          <c:val>
            <c:numRef>
              <c:f>'Test Report'!$F$23:$H$23</c:f>
              <c:numCache>
                <c:formatCode>General</c:formatCode>
                <c:ptCount val="3"/>
              </c:numCache>
            </c:numRef>
          </c:val>
        </c:ser>
        <c:ser>
          <c:idx val="2"/>
          <c:order val="2"/>
          <c:spPr>
            <a:solidFill>
              <a:srgbClr val="FFFFCC"/>
            </a:solidFill>
            <a:ln w="12600">
              <a:solidFill>
                <a:srgbClr val="000000"/>
              </a:solidFill>
            </a:ln>
          </c:spPr>
          <c:explosion val="0"/>
          <c:dLbls>
            <c:delete val="1"/>
          </c:dLbls>
          <c:cat>
            <c:strRef>
              <c:f>'Test Report'!$F$11:$H$11</c:f>
              <c:strCache>
                <c:ptCount val="3"/>
                <c:pt idx="0">
                  <c:v>N</c:v>
                </c:pt>
                <c:pt idx="1">
                  <c:v>A</c:v>
                </c:pt>
                <c:pt idx="2">
                  <c:v>B</c:v>
                </c:pt>
              </c:strCache>
            </c:strRef>
          </c:cat>
        </c:ser>
        <c:ser>
          <c:idx val="3"/>
          <c:order val="3"/>
          <c:spPr>
            <a:solidFill>
              <a:srgbClr val="CCFFFF"/>
            </a:solidFill>
            <a:ln w="12600">
              <a:solidFill>
                <a:srgbClr val="000000"/>
              </a:solidFill>
            </a:ln>
          </c:spPr>
          <c:explosion val="0"/>
          <c:dLbls>
            <c:delete val="1"/>
          </c:dLbls>
          <c:cat>
            <c:strRef>
              <c:f>'Test Report'!$F$11:$H$11</c:f>
              <c:strCache>
                <c:ptCount val="3"/>
                <c:pt idx="0">
                  <c:v>N</c:v>
                </c:pt>
                <c:pt idx="1">
                  <c:v>A</c:v>
                </c:pt>
                <c:pt idx="2">
                  <c:v>B</c:v>
                </c:pt>
              </c:strCache>
            </c:strRef>
          </c:cat>
        </c:ser>
        <c:ser>
          <c:idx val="4"/>
          <c:order val="4"/>
          <c:spPr>
            <a:solidFill>
              <a:srgbClr val="660066"/>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Report'!$F$11:$H$11</c:f>
              <c:strCache>
                <c:ptCount val="3"/>
                <c:pt idx="0">
                  <c:v>N</c:v>
                </c:pt>
                <c:pt idx="1">
                  <c:v>A</c:v>
                </c:pt>
                <c:pt idx="2">
                  <c:v>B</c:v>
                </c:pt>
              </c:strCache>
            </c:strRef>
          </c:cat>
          <c:val>
            <c:numRef>
              <c:f>'Test Report'!$F$24:$H$24</c:f>
              <c:numCache>
                <c:formatCode>General</c:formatCode>
                <c:ptCount val="3"/>
                <c:pt idx="0">
                  <c:v>71</c:v>
                </c:pt>
                <c:pt idx="1">
                  <c:v>0</c:v>
                </c:pt>
                <c:pt idx="2">
                  <c:v>0</c:v>
                </c:pt>
              </c:numCache>
            </c:numRef>
          </c:val>
        </c:ser>
        <c:dLbls>
          <c:showLegendKey val="0"/>
          <c:showVal val="0"/>
          <c:showCatName val="0"/>
          <c:showSerName val="0"/>
          <c:showPercent val="0"/>
          <c:showBubbleSize val="0"/>
          <c:showLeaderLines val="0"/>
        </c:dLbls>
        <c:firstSliceAng val="0"/>
      </c:pieChart>
    </c:plotArea>
    <c:legend>
      <c:legendPos val="r"/>
      <c:layout/>
      <c:overlay val="0"/>
      <c:spPr>
        <a:solidFill>
          <a:srgbClr val="FFFFFF"/>
        </a:solidFill>
      </c:spPr>
      <c:txPr>
        <a:bodyPr rot="0" spcFirstLastPara="0" vertOverflow="ellipsis" vert="horz" wrap="square" anchor="ctr" anchorCtr="1"/>
        <a:lstStyle/>
        <a:p>
          <a:pPr>
            <a:defRPr lang="en-GB" sz="630" b="0" i="0" u="none" strike="noStrike" kern="1200" baseline="0">
              <a:solidFill>
                <a:srgbClr val="000000"/>
              </a:solidFill>
              <a:latin typeface="MS PGothic" panose="020B0600070205080204" charset="-128"/>
              <a:ea typeface="MS PGothic" panose="020B0600070205080204" charset="-128"/>
              <a:cs typeface="MS PGothic" panose="020B0600070205080204" charset="-128"/>
            </a:defRPr>
          </a:pPr>
        </a:p>
      </c:txPr>
    </c:legend>
    <c:plotVisOnly val="1"/>
    <c:dispBlanksAs val="gap"/>
    <c:showDLblsOverMax val="0"/>
    <c:extLst>
      <c:ext uri="{0b15fc19-7d7d-44ad-8c2d-2c3a37ce22c3}">
        <chartProps xmlns="https://web.wps.cn/et/2018/main" chartId="{a1df9c86-f05b-4afd-9cbe-487c08948f2c}"/>
      </c:ext>
    </c:extLst>
  </c:chart>
  <c:spPr>
    <a:solidFill>
      <a:srgbClr val="FFFFFF"/>
    </a:solidFill>
    <a:ln w="0">
      <a:solidFill>
        <a:srgbClr val="000000"/>
      </a:solidFill>
      <a:prstDash val="solid"/>
      <a:round/>
    </a:ln>
  </c:spPr>
  <c:txPr>
    <a:bodyPr/>
    <a:lstStyle/>
    <a:p>
      <a:pPr>
        <a:defRPr lang="en-GB"/>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GB" sz="1800" b="1" i="0" u="none" strike="noStrike" kern="1200" baseline="0">
                <a:solidFill>
                  <a:schemeClr val="tx1"/>
                </a:solidFill>
                <a:latin typeface="+mn-lt"/>
                <a:ea typeface="+mn-ea"/>
                <a:cs typeface="+mn-cs"/>
              </a:defRPr>
            </a:pPr>
            <a:r>
              <a:rPr sz="1100" b="1" u="none">
                <a:solidFill>
                  <a:srgbClr val="000000"/>
                </a:solidFill>
                <a:latin typeface="MS PGothic" panose="020B0600070205080204" charset="-128"/>
                <a:ea typeface="MS PGothic" panose="020B0600070205080204" charset="-128"/>
                <a:cs typeface="MS PGothic" panose="020B0600070205080204" charset="-128"/>
              </a:rPr>
              <a:t>Passed Percent</a:t>
            </a:r>
            <a:endParaRPr sz="1100" b="1" u="none">
              <a:solidFill>
                <a:srgbClr val="000000"/>
              </a:solidFill>
              <a:latin typeface="MS PGothic" panose="020B0600070205080204" charset="-128"/>
              <a:ea typeface="MS PGothic" panose="020B0600070205080204" charset="-128"/>
              <a:cs typeface="MS PGothic" panose="020B0600070205080204" charset="-128"/>
            </a:endParaRPr>
          </a:p>
        </c:rich>
      </c:tx>
      <c:layout/>
      <c:overlay val="0"/>
    </c:title>
    <c:autoTitleDeleted val="0"/>
    <c:plotArea>
      <c:layout/>
      <c:pieChart>
        <c:varyColors val="1"/>
        <c:ser>
          <c:idx val="0"/>
          <c:order val="0"/>
          <c:spPr>
            <a:solidFill>
              <a:srgbClr val="9999FF"/>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Report'!$C$11:$E$11</c:f>
              <c:strCache>
                <c:ptCount val="3"/>
                <c:pt idx="0">
                  <c:v>Passed</c:v>
                </c:pt>
                <c:pt idx="1">
                  <c:v>Failed</c:v>
                </c:pt>
                <c:pt idx="2">
                  <c:v>Untested</c:v>
                </c:pt>
              </c:strCache>
            </c:strRef>
          </c:cat>
          <c:val>
            <c:numRef>
              <c:f>'Test Report'!$C$24:$E$24</c:f>
              <c:numCache>
                <c:formatCode>General</c:formatCode>
                <c:ptCount val="3"/>
                <c:pt idx="0">
                  <c:v>56</c:v>
                </c:pt>
                <c:pt idx="1">
                  <c:v>15</c:v>
                </c:pt>
                <c:pt idx="2">
                  <c:v>0</c:v>
                </c:pt>
              </c:numCache>
            </c:numRef>
          </c:val>
        </c:ser>
        <c:ser>
          <c:idx val="1"/>
          <c:order val="1"/>
          <c:spPr>
            <a:solidFill>
              <a:srgbClr val="993366"/>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Report'!$C$11:$E$11</c:f>
              <c:strCache>
                <c:ptCount val="3"/>
                <c:pt idx="0">
                  <c:v>Passed</c:v>
                </c:pt>
                <c:pt idx="1">
                  <c:v>Failed</c:v>
                </c:pt>
                <c:pt idx="2">
                  <c:v>Untested</c:v>
                </c:pt>
              </c:strCache>
            </c:strRef>
          </c:cat>
          <c:val>
            <c:numRef>
              <c:f>'Test Report'!$C$23:$E$23</c:f>
              <c:numCache>
                <c:formatCode>General</c:formatCode>
                <c:ptCount val="3"/>
              </c:numCache>
            </c:numRef>
          </c:val>
        </c:ser>
        <c:ser>
          <c:idx val="2"/>
          <c:order val="2"/>
          <c:spPr>
            <a:solidFill>
              <a:srgbClr val="FFFFCC"/>
            </a:solidFill>
            <a:ln w="12600">
              <a:solidFill>
                <a:srgbClr val="000000"/>
              </a:solidFill>
            </a:ln>
          </c:spPr>
          <c:explosion val="0"/>
          <c:dLbls>
            <c:delete val="1"/>
          </c:dLbls>
          <c:cat>
            <c:strRef>
              <c:f>'Test Report'!$C$11:$E$11</c:f>
              <c:strCache>
                <c:ptCount val="3"/>
                <c:pt idx="0">
                  <c:v>Passed</c:v>
                </c:pt>
                <c:pt idx="1">
                  <c:v>Failed</c:v>
                </c:pt>
                <c:pt idx="2">
                  <c:v>Untested</c:v>
                </c:pt>
              </c:strCache>
            </c:strRef>
          </c:cat>
        </c:ser>
        <c:ser>
          <c:idx val="3"/>
          <c:order val="3"/>
          <c:spPr>
            <a:solidFill>
              <a:srgbClr val="CCFFFF"/>
            </a:solidFill>
            <a:ln w="12600">
              <a:solidFill>
                <a:srgbClr val="000000"/>
              </a:solidFill>
            </a:ln>
          </c:spPr>
          <c:explosion val="0"/>
          <c:dLbls>
            <c:delete val="1"/>
          </c:dLbls>
          <c:cat>
            <c:strRef>
              <c:f>'Test Report'!$C$11:$E$11</c:f>
              <c:strCache>
                <c:ptCount val="3"/>
                <c:pt idx="0">
                  <c:v>Passed</c:v>
                </c:pt>
                <c:pt idx="1">
                  <c:v>Failed</c:v>
                </c:pt>
                <c:pt idx="2">
                  <c:v>Untested</c:v>
                </c:pt>
              </c:strCache>
            </c:strRef>
          </c:cat>
        </c:ser>
        <c:ser>
          <c:idx val="4"/>
          <c:order val="4"/>
          <c:spPr>
            <a:solidFill>
              <a:srgbClr val="660066"/>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Report'!$C$11:$E$11</c:f>
              <c:strCache>
                <c:ptCount val="3"/>
                <c:pt idx="0">
                  <c:v>Passed</c:v>
                </c:pt>
                <c:pt idx="1">
                  <c:v>Failed</c:v>
                </c:pt>
                <c:pt idx="2">
                  <c:v>Untested</c:v>
                </c:pt>
              </c:strCache>
            </c:strRef>
          </c:cat>
          <c:val>
            <c:numRef>
              <c:f>'Test Report'!$C$24:$E$24</c:f>
              <c:numCache>
                <c:formatCode>General</c:formatCode>
                <c:ptCount val="3"/>
                <c:pt idx="0">
                  <c:v>56</c:v>
                </c:pt>
                <c:pt idx="1">
                  <c:v>15</c:v>
                </c:pt>
                <c:pt idx="2">
                  <c:v>0</c:v>
                </c:pt>
              </c:numCache>
            </c:numRef>
          </c:val>
        </c:ser>
        <c:dLbls>
          <c:showLegendKey val="0"/>
          <c:showVal val="0"/>
          <c:showCatName val="0"/>
          <c:showSerName val="0"/>
          <c:showPercent val="0"/>
          <c:showBubbleSize val="0"/>
          <c:showLeaderLines val="0"/>
        </c:dLbls>
        <c:firstSliceAng val="0"/>
      </c:pieChart>
    </c:plotArea>
    <c:legend>
      <c:legendPos val="r"/>
      <c:layout/>
      <c:overlay val="0"/>
      <c:spPr>
        <a:solidFill>
          <a:srgbClr val="FFFFFF"/>
        </a:solidFill>
      </c:spPr>
      <c:txPr>
        <a:bodyPr rot="0" spcFirstLastPara="0" vertOverflow="ellipsis" vert="horz" wrap="square" anchor="ctr" anchorCtr="1"/>
        <a:lstStyle/>
        <a:p>
          <a:pPr>
            <a:defRPr lang="en-GB" sz="780" b="0" i="0" u="none" strike="noStrike" kern="1200" baseline="0">
              <a:solidFill>
                <a:srgbClr val="000000"/>
              </a:solidFill>
              <a:latin typeface="MS PGothic" panose="020B0600070205080204" charset="-128"/>
              <a:ea typeface="MS PGothic" panose="020B0600070205080204" charset="-128"/>
              <a:cs typeface="MS PGothic" panose="020B0600070205080204" charset="-128"/>
            </a:defRPr>
          </a:pPr>
        </a:p>
      </c:txPr>
    </c:legend>
    <c:plotVisOnly val="1"/>
    <c:dispBlanksAs val="gap"/>
    <c:showDLblsOverMax val="0"/>
    <c:extLst>
      <c:ext uri="{0b15fc19-7d7d-44ad-8c2d-2c3a37ce22c3}">
        <chartProps xmlns="https://web.wps.cn/et/2018/main" chartId="{9bb14d08-7512-4379-848d-70c6df1fb494}"/>
      </c:ext>
    </c:extLst>
  </c:chart>
  <c:spPr>
    <a:solidFill>
      <a:srgbClr val="FFFFFF"/>
    </a:solidFill>
    <a:ln w="0">
      <a:solidFill>
        <a:srgbClr val="000000"/>
      </a:solidFill>
      <a:prstDash val="solid"/>
      <a:round/>
    </a:ln>
  </c:spPr>
  <c:txPr>
    <a:bodyPr/>
    <a:lstStyle/>
    <a:p>
      <a:pPr>
        <a:defRPr lang="en-GB"/>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266760</xdr:colOff>
      <xdr:row>1</xdr:row>
      <xdr:rowOff>127800</xdr:rowOff>
    </xdr:from>
    <xdr:to>
      <xdr:col>0</xdr:col>
      <xdr:colOff>1086480</xdr:colOff>
      <xdr:row>1</xdr:row>
      <xdr:rowOff>837720</xdr:rowOff>
    </xdr:to>
    <xdr:pic>
      <xdr:nvPicPr>
        <xdr:cNvPr id="2" name="/xl/media/image.jpg"/>
        <xdr:cNvPicPr>
          <a:picLocks noChangeAspect="1"/>
        </xdr:cNvPicPr>
      </xdr:nvPicPr>
      <xdr:blipFill>
        <a:blip r:embed="rId1"/>
        <a:stretch>
          <a:fillRect/>
        </a:stretch>
      </xdr:blipFill>
      <xdr:spPr>
        <a:xfrm>
          <a:off x="266700" y="295275"/>
          <a:ext cx="819150" cy="70993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568080</xdr:colOff>
      <xdr:row>31</xdr:row>
      <xdr:rowOff>0</xdr:rowOff>
    </xdr:from>
    <xdr:to>
      <xdr:col>9</xdr:col>
      <xdr:colOff>2520</xdr:colOff>
      <xdr:row>46</xdr:row>
      <xdr:rowOff>15120</xdr:rowOff>
    </xdr:to>
    <xdr:graphicFrame>
      <xdr:nvGraphicFramePr>
        <xdr:cNvPr id="2" name="Chart"/>
        <xdr:cNvGraphicFramePr/>
      </xdr:nvGraphicFramePr>
      <xdr:xfrm>
        <a:off x="4277360" y="5442585"/>
        <a:ext cx="3248025" cy="25292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114840</xdr:colOff>
      <xdr:row>31</xdr:row>
      <xdr:rowOff>23040</xdr:rowOff>
    </xdr:from>
    <xdr:to>
      <xdr:col>3</xdr:col>
      <xdr:colOff>249840</xdr:colOff>
      <xdr:row>45</xdr:row>
      <xdr:rowOff>167400</xdr:rowOff>
    </xdr:to>
    <xdr:graphicFrame>
      <xdr:nvGraphicFramePr>
        <xdr:cNvPr id="3" name="Chart"/>
        <xdr:cNvGraphicFramePr/>
      </xdr:nvGraphicFramePr>
      <xdr:xfrm>
        <a:off x="114300" y="5465445"/>
        <a:ext cx="3844925" cy="24911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27</xdr:col>
      <xdr:colOff>17640</xdr:colOff>
      <xdr:row>0</xdr:row>
      <xdr:rowOff>0</xdr:rowOff>
    </xdr:from>
    <xdr:to>
      <xdr:col>34</xdr:col>
      <xdr:colOff>595800</xdr:colOff>
      <xdr:row>8</xdr:row>
      <xdr:rowOff>366840</xdr:rowOff>
    </xdr:to>
    <xdr:pic>
      <xdr:nvPicPr>
        <xdr:cNvPr id="2" name="/xl/media/image.png"/>
        <xdr:cNvPicPr>
          <a:picLocks noChangeAspect="1"/>
        </xdr:cNvPicPr>
      </xdr:nvPicPr>
      <xdr:blipFill>
        <a:blip r:embed="rId1"/>
        <a:stretch>
          <a:fillRect/>
        </a:stretch>
      </xdr:blipFill>
      <xdr:spPr>
        <a:xfrm>
          <a:off x="11568430" y="0"/>
          <a:ext cx="4894580" cy="1867535"/>
        </a:xfrm>
        <a:prstGeom prst="rect">
          <a:avLst/>
        </a:prstGeom>
      </xdr:spPr>
    </xdr:pic>
    <xdr:clientData/>
  </xdr:twoCellAnchor>
</xdr:wsDr>
</file>

<file path=xl/theme/theme1.xml><?xml version="1.0" encoding="utf-8"?>
<a:theme xmlns:a="http://schemas.openxmlformats.org/drawingml/2006/main" name="Libr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a:ea typeface="Calibri"/>
        <a:cs typeface="Calibri"/>
      </a:majorFont>
      <a:minorFont>
        <a:latin typeface="Calibri"/>
        <a:ea typeface="Calibri"/>
        <a:cs typeface="Calibri"/>
      </a:minorFont>
    </a:fontScheme>
    <a:fmtScheme name="Libr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5"/>
  <sheetViews>
    <sheetView topLeftCell="A36" workbookViewId="0">
      <selection activeCell="A1" sqref="A1"/>
    </sheetView>
  </sheetViews>
  <sheetFormatPr defaultColWidth="8.99074074074074" defaultRowHeight="13.8" outlineLevelCol="3"/>
  <cols>
    <col min="1" max="1" width="154.101851851852" style="332" customWidth="1"/>
    <col min="2" max="257" width="8.99074074074074" style="332"/>
  </cols>
  <sheetData>
    <row r="1" ht="22.2" spans="1:1">
      <c r="A1" s="333" t="s">
        <v>0</v>
      </c>
    </row>
    <row r="2" ht="22.2" spans="1:1">
      <c r="A2" s="333"/>
    </row>
    <row r="3" ht="15" spans="1:1">
      <c r="A3" s="334" t="s">
        <v>1</v>
      </c>
    </row>
    <row r="4" ht="15" customHeight="1" spans="1:1">
      <c r="A4" s="335" t="s">
        <v>2</v>
      </c>
    </row>
    <row r="5" ht="15" customHeight="1" spans="1:1">
      <c r="A5" s="335" t="s">
        <v>3</v>
      </c>
    </row>
    <row r="6" ht="39.6" spans="1:1">
      <c r="A6" s="336" t="s">
        <v>4</v>
      </c>
    </row>
    <row r="7" ht="29.25" customHeight="1" spans="1:1">
      <c r="A7" s="336" t="s">
        <v>5</v>
      </c>
    </row>
    <row r="8" ht="30" customHeight="1" spans="1:1">
      <c r="A8" s="337" t="s">
        <v>6</v>
      </c>
    </row>
    <row r="9" ht="16.5" customHeight="1" spans="1:1">
      <c r="A9" s="338" t="s">
        <v>7</v>
      </c>
    </row>
    <row r="10" ht="16.5" customHeight="1" spans="1:1">
      <c r="A10" s="335"/>
    </row>
    <row r="11" ht="15" spans="1:1">
      <c r="A11" s="334" t="s">
        <v>8</v>
      </c>
    </row>
    <row r="12" spans="1:1">
      <c r="A12" s="339" t="s">
        <v>9</v>
      </c>
    </row>
    <row r="13" ht="26.4" spans="1:1">
      <c r="A13" s="335" t="s">
        <v>10</v>
      </c>
    </row>
    <row r="14" spans="1:1">
      <c r="A14" s="335" t="s">
        <v>11</v>
      </c>
    </row>
    <row r="15" spans="1:1">
      <c r="A15" s="336" t="s">
        <v>12</v>
      </c>
    </row>
    <row r="16" spans="1:1">
      <c r="A16" s="335"/>
    </row>
    <row r="17" spans="1:1">
      <c r="A17" s="339" t="s">
        <v>13</v>
      </c>
    </row>
    <row r="18" spans="1:2">
      <c r="A18" s="335" t="s">
        <v>14</v>
      </c>
      <c r="B18" s="335"/>
    </row>
    <row r="19" spans="1:1">
      <c r="A19" s="339" t="s">
        <v>15</v>
      </c>
    </row>
    <row r="20" spans="1:2">
      <c r="A20" s="335" t="s">
        <v>16</v>
      </c>
      <c r="B20" s="335"/>
    </row>
    <row r="21" ht="26.4" spans="1:1">
      <c r="A21" s="336" t="s">
        <v>17</v>
      </c>
    </row>
    <row r="22" spans="1:2">
      <c r="A22" s="335" t="s">
        <v>18</v>
      </c>
      <c r="B22" s="335"/>
    </row>
    <row r="23" spans="1:2">
      <c r="A23" s="335" t="s">
        <v>19</v>
      </c>
      <c r="B23" s="335"/>
    </row>
    <row r="24" spans="1:2">
      <c r="A24" s="335" t="s">
        <v>20</v>
      </c>
      <c r="B24" s="335"/>
    </row>
    <row r="25" spans="1:4">
      <c r="A25" s="335" t="s">
        <v>21</v>
      </c>
      <c r="B25" s="335"/>
      <c r="C25" s="335" t="s">
        <v>22</v>
      </c>
      <c r="D25" s="335" t="s">
        <v>22</v>
      </c>
    </row>
    <row r="26" spans="1:1">
      <c r="A26" s="335" t="s">
        <v>23</v>
      </c>
    </row>
    <row r="27" spans="1:2">
      <c r="A27" s="335" t="s">
        <v>24</v>
      </c>
      <c r="B27" s="335"/>
    </row>
    <row r="28" spans="1:1">
      <c r="A28" s="335" t="s">
        <v>25</v>
      </c>
    </row>
    <row r="29" spans="1:1">
      <c r="A29" s="335" t="s">
        <v>26</v>
      </c>
    </row>
    <row r="30" spans="1:3">
      <c r="A30" s="335" t="s">
        <v>27</v>
      </c>
      <c r="B30" s="335"/>
      <c r="C30" s="335" t="s">
        <v>22</v>
      </c>
    </row>
    <row r="31" spans="1:1">
      <c r="A31" s="339" t="s">
        <v>28</v>
      </c>
    </row>
    <row r="32" ht="30" customHeight="1" spans="1:1">
      <c r="A32" s="336" t="s">
        <v>29</v>
      </c>
    </row>
    <row r="33" spans="1:1">
      <c r="A33" s="335" t="s">
        <v>30</v>
      </c>
    </row>
    <row r="34" spans="1:1">
      <c r="A34" s="335" t="s">
        <v>31</v>
      </c>
    </row>
    <row r="35" spans="1:2">
      <c r="A35" s="335" t="s">
        <v>32</v>
      </c>
      <c r="B35" s="335"/>
    </row>
    <row r="36" spans="1:2">
      <c r="A36" s="335" t="s">
        <v>33</v>
      </c>
      <c r="B36" s="335"/>
    </row>
    <row r="37" spans="1:1">
      <c r="A37" s="339" t="s">
        <v>34</v>
      </c>
    </row>
    <row r="38" spans="1:1">
      <c r="A38" s="335" t="s">
        <v>35</v>
      </c>
    </row>
    <row r="39" ht="39.6" spans="1:2">
      <c r="A39" s="337" t="s">
        <v>36</v>
      </c>
      <c r="B39" s="335"/>
    </row>
    <row r="40" spans="1:2">
      <c r="A40" s="337"/>
      <c r="B40" s="335"/>
    </row>
    <row r="41" spans="1:1">
      <c r="A41" s="339" t="s">
        <v>37</v>
      </c>
    </row>
    <row r="42" spans="1:1">
      <c r="A42" s="335" t="s">
        <v>38</v>
      </c>
    </row>
    <row r="43" spans="1:1">
      <c r="A43" s="335" t="s">
        <v>39</v>
      </c>
    </row>
    <row r="44" spans="1:1">
      <c r="A44" s="335" t="s">
        <v>40</v>
      </c>
    </row>
    <row r="45" spans="1:1">
      <c r="A45" s="335" t="s">
        <v>41</v>
      </c>
    </row>
    <row r="46" spans="1:1">
      <c r="A46" s="335" t="s">
        <v>42</v>
      </c>
    </row>
    <row r="47" spans="1:1">
      <c r="A47" s="335" t="s">
        <v>43</v>
      </c>
    </row>
    <row r="48" spans="1:1">
      <c r="A48" s="335" t="s">
        <v>44</v>
      </c>
    </row>
    <row r="49" spans="1:1">
      <c r="A49" s="335"/>
    </row>
    <row r="51" spans="1:1">
      <c r="A51" s="340" t="s">
        <v>45</v>
      </c>
    </row>
    <row r="52" spans="1:1">
      <c r="A52" s="332" t="s">
        <v>46</v>
      </c>
    </row>
    <row r="53" spans="1:1">
      <c r="A53" s="332" t="s">
        <v>47</v>
      </c>
    </row>
    <row r="54" ht="41.4" spans="1:1">
      <c r="A54" s="341" t="s">
        <v>48</v>
      </c>
    </row>
    <row r="55" ht="27.6" spans="1:1">
      <c r="A55" s="341" t="s">
        <v>49</v>
      </c>
    </row>
    <row r="56" ht="27.6" spans="1:1">
      <c r="A56" s="341" t="s">
        <v>50</v>
      </c>
    </row>
    <row r="57" spans="1:1">
      <c r="A57" s="332" t="s">
        <v>51</v>
      </c>
    </row>
    <row r="59" spans="1:1">
      <c r="A59" s="340" t="s">
        <v>52</v>
      </c>
    </row>
    <row r="60" spans="1:1">
      <c r="A60" s="340" t="s">
        <v>53</v>
      </c>
    </row>
    <row r="61" spans="1:1">
      <c r="A61" s="332" t="s">
        <v>54</v>
      </c>
    </row>
    <row r="62" spans="1:1">
      <c r="A62" s="332" t="s">
        <v>55</v>
      </c>
    </row>
    <row r="63" spans="1:1">
      <c r="A63" s="332" t="s">
        <v>56</v>
      </c>
    </row>
    <row r="65" spans="1:1">
      <c r="A65" s="340" t="s">
        <v>57</v>
      </c>
    </row>
    <row r="66" spans="1:1">
      <c r="A66" s="332" t="s">
        <v>58</v>
      </c>
    </row>
    <row r="67" spans="1:1">
      <c r="A67" s="340" t="s">
        <v>15</v>
      </c>
    </row>
    <row r="68" spans="1:1">
      <c r="A68" s="332" t="s">
        <v>59</v>
      </c>
    </row>
    <row r="69" ht="27.6" spans="1:1">
      <c r="A69" s="341" t="s">
        <v>60</v>
      </c>
    </row>
    <row r="70" spans="1:1">
      <c r="A70" s="332" t="s">
        <v>61</v>
      </c>
    </row>
    <row r="71" spans="1:1">
      <c r="A71" s="332" t="s">
        <v>62</v>
      </c>
    </row>
    <row r="72" spans="1:1">
      <c r="A72" s="332" t="s">
        <v>63</v>
      </c>
    </row>
    <row r="73" spans="1:1">
      <c r="A73" s="332" t="s">
        <v>64</v>
      </c>
    </row>
    <row r="74" spans="1:1">
      <c r="A74" s="332" t="s">
        <v>65</v>
      </c>
    </row>
    <row r="75" spans="1:1">
      <c r="A75" s="332" t="s">
        <v>66</v>
      </c>
    </row>
    <row r="76" spans="1:1">
      <c r="A76" s="332" t="s">
        <v>67</v>
      </c>
    </row>
    <row r="77" spans="1:1">
      <c r="A77" s="332" t="s">
        <v>68</v>
      </c>
    </row>
    <row r="78" spans="1:1">
      <c r="A78" s="332" t="s">
        <v>69</v>
      </c>
    </row>
    <row r="79" spans="1:1">
      <c r="A79" s="332" t="s">
        <v>70</v>
      </c>
    </row>
    <row r="80" ht="27.6" spans="1:1">
      <c r="A80" s="341" t="s">
        <v>71</v>
      </c>
    </row>
    <row r="81" spans="1:1">
      <c r="A81" s="332" t="s">
        <v>72</v>
      </c>
    </row>
    <row r="82" spans="1:1">
      <c r="A82" s="332" t="s">
        <v>73</v>
      </c>
    </row>
    <row r="83" spans="1:1">
      <c r="A83" s="332" t="s">
        <v>74</v>
      </c>
    </row>
    <row r="84" spans="1:1">
      <c r="A84" s="332" t="s">
        <v>75</v>
      </c>
    </row>
    <row r="85" spans="1:1">
      <c r="A85" s="332" t="s">
        <v>76</v>
      </c>
    </row>
    <row r="86" spans="1:1">
      <c r="A86" s="332" t="s">
        <v>77</v>
      </c>
    </row>
    <row r="87" ht="41.4" spans="1:1">
      <c r="A87" s="341" t="s">
        <v>78</v>
      </c>
    </row>
    <row r="89" spans="1:1">
      <c r="A89" s="332" t="s">
        <v>79</v>
      </c>
    </row>
    <row r="90" spans="1:1">
      <c r="A90" s="332" t="s">
        <v>80</v>
      </c>
    </row>
    <row r="91" spans="1:1">
      <c r="A91" s="332" t="s">
        <v>81</v>
      </c>
    </row>
    <row r="92" spans="1:1">
      <c r="A92" s="332" t="s">
        <v>82</v>
      </c>
    </row>
    <row r="93" spans="1:1">
      <c r="A93" s="332" t="s">
        <v>83</v>
      </c>
    </row>
    <row r="94" spans="1:1">
      <c r="A94" s="332" t="s">
        <v>84</v>
      </c>
    </row>
    <row r="95" spans="1:1">
      <c r="A95" s="332" t="s">
        <v>85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8"/>
  <sheetViews>
    <sheetView workbookViewId="0">
      <selection activeCell="A1" sqref="A1"/>
    </sheetView>
  </sheetViews>
  <sheetFormatPr defaultColWidth="8.99074074074074" defaultRowHeight="13.2" outlineLevelCol="5"/>
  <cols>
    <col min="1" max="1" width="21.3333333333333" style="302" customWidth="1"/>
    <col min="2" max="2" width="9.99074074074074" style="303" customWidth="1"/>
    <col min="3" max="3" width="14.3333333333333" style="303" customWidth="1"/>
    <col min="4" max="4" width="16.6574074074074" style="303" customWidth="1"/>
    <col min="5" max="5" width="37.9907407407407" style="303" customWidth="1"/>
    <col min="6" max="6" width="51.1018518518519" style="303" customWidth="1"/>
    <col min="7" max="257" width="8.99074074074074" style="303"/>
  </cols>
  <sheetData>
    <row r="2" ht="75.75" customHeight="1" spans="1:6">
      <c r="A2" s="304"/>
      <c r="B2" s="305" t="s">
        <v>86</v>
      </c>
      <c r="C2" s="305"/>
      <c r="D2" s="305"/>
      <c r="E2" s="305"/>
      <c r="F2" s="305"/>
    </row>
    <row r="3" spans="1:5">
      <c r="A3" s="306"/>
      <c r="B3" s="307"/>
      <c r="E3" s="228"/>
    </row>
    <row r="4" ht="14.25" customHeight="1" spans="1:6">
      <c r="A4" s="234" t="s">
        <v>87</v>
      </c>
      <c r="B4" s="308" t="s">
        <v>88</v>
      </c>
      <c r="C4" s="308"/>
      <c r="D4" s="308"/>
      <c r="E4" s="234" t="s">
        <v>89</v>
      </c>
      <c r="F4" s="309" t="s">
        <v>90</v>
      </c>
    </row>
    <row r="5" ht="14.25" customHeight="1" spans="1:6">
      <c r="A5" s="234" t="s">
        <v>91</v>
      </c>
      <c r="B5" s="308" t="s">
        <v>92</v>
      </c>
      <c r="C5" s="308"/>
      <c r="D5" s="308"/>
      <c r="E5" s="234" t="s">
        <v>93</v>
      </c>
      <c r="F5" s="309" t="s">
        <v>94</v>
      </c>
    </row>
    <row r="6" ht="15.75" customHeight="1" spans="1:6">
      <c r="A6" s="232" t="s">
        <v>95</v>
      </c>
      <c r="B6" s="310"/>
      <c r="C6" s="310"/>
      <c r="D6" s="310"/>
      <c r="E6" s="234" t="s">
        <v>96</v>
      </c>
      <c r="F6" s="311" t="s">
        <v>97</v>
      </c>
    </row>
    <row r="7" ht="13.5" customHeight="1" spans="1:6">
      <c r="A7" s="232"/>
      <c r="B7" s="310"/>
      <c r="C7" s="310"/>
      <c r="D7" s="310"/>
      <c r="E7" s="234" t="s">
        <v>98</v>
      </c>
      <c r="F7" s="312">
        <v>1</v>
      </c>
    </row>
    <row r="8" spans="1:6">
      <c r="A8" s="313"/>
      <c r="B8" s="314"/>
      <c r="C8" s="315"/>
      <c r="D8" s="315"/>
      <c r="E8" s="316"/>
      <c r="F8" s="314"/>
    </row>
    <row r="9" spans="1:5">
      <c r="A9" s="303"/>
      <c r="B9" s="317"/>
      <c r="C9" s="317"/>
      <c r="D9" s="317"/>
      <c r="E9" s="317"/>
    </row>
    <row r="10" spans="1:1">
      <c r="A10" s="318" t="s">
        <v>99</v>
      </c>
    </row>
    <row r="11" spans="1:6">
      <c r="A11" s="319" t="s">
        <v>100</v>
      </c>
      <c r="B11" s="320" t="s">
        <v>98</v>
      </c>
      <c r="C11" s="320" t="s">
        <v>101</v>
      </c>
      <c r="D11" s="320" t="s">
        <v>102</v>
      </c>
      <c r="E11" s="320" t="s">
        <v>103</v>
      </c>
      <c r="F11" s="321" t="s">
        <v>104</v>
      </c>
    </row>
    <row r="12" ht="26.25" customHeight="1" spans="1:6">
      <c r="A12" s="311" t="s">
        <v>97</v>
      </c>
      <c r="B12" s="322" t="s">
        <v>105</v>
      </c>
      <c r="C12" s="323"/>
      <c r="D12" s="323" t="s">
        <v>106</v>
      </c>
      <c r="E12" s="324" t="s">
        <v>107</v>
      </c>
      <c r="F12" s="325" t="s">
        <v>108</v>
      </c>
    </row>
    <row r="13" ht="21.75" customHeight="1" spans="1:6">
      <c r="A13" s="311" t="s">
        <v>109</v>
      </c>
      <c r="B13" s="322" t="s">
        <v>110</v>
      </c>
      <c r="C13" s="323"/>
      <c r="D13" s="323" t="s">
        <v>106</v>
      </c>
      <c r="E13" s="323" t="s">
        <v>111</v>
      </c>
      <c r="F13" s="326"/>
    </row>
    <row r="14" ht="19.5" customHeight="1" spans="1:6">
      <c r="A14" s="311"/>
      <c r="B14" s="322"/>
      <c r="C14" s="323"/>
      <c r="D14" s="323"/>
      <c r="E14" s="323"/>
      <c r="F14" s="326"/>
    </row>
    <row r="15" ht="21.75" customHeight="1" spans="1:6">
      <c r="A15" s="327"/>
      <c r="B15" s="322"/>
      <c r="C15" s="323"/>
      <c r="D15" s="323"/>
      <c r="E15" s="323"/>
      <c r="F15" s="326"/>
    </row>
    <row r="16" ht="19.5" customHeight="1" spans="1:6">
      <c r="A16" s="327"/>
      <c r="B16" s="322"/>
      <c r="C16" s="323"/>
      <c r="D16" s="323"/>
      <c r="E16" s="323"/>
      <c r="F16" s="326"/>
    </row>
    <row r="17" ht="21.75" customHeight="1" spans="1:6">
      <c r="A17" s="327"/>
      <c r="B17" s="322"/>
      <c r="C17" s="323"/>
      <c r="D17" s="323"/>
      <c r="E17" s="323"/>
      <c r="F17" s="326"/>
    </row>
    <row r="18" ht="19.5" customHeight="1" spans="1:6">
      <c r="A18" s="328"/>
      <c r="B18" s="329"/>
      <c r="C18" s="330"/>
      <c r="D18" s="330"/>
      <c r="E18" s="330"/>
      <c r="F18" s="331"/>
    </row>
  </sheetData>
  <mergeCells count="5">
    <mergeCell ref="B2:F2"/>
    <mergeCell ref="B4:D4"/>
    <mergeCell ref="B5:D5"/>
    <mergeCell ref="A6:A7"/>
    <mergeCell ref="B6:D7"/>
  </mergeCells>
  <pageMargins left="0.7" right="0.7" top="0.75" bottom="0.75" header="0.3" footer="0.3"/>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workbookViewId="0">
      <selection activeCell="B17" sqref="B17"/>
    </sheetView>
  </sheetViews>
  <sheetFormatPr defaultColWidth="8.99074074074074" defaultRowHeight="13.2" outlineLevelCol="7"/>
  <cols>
    <col min="1" max="1" width="7.10185185185185" style="262" customWidth="1"/>
    <col min="2" max="2" width="54.5092592592593" style="262" customWidth="1"/>
    <col min="3" max="3" width="9.76851851851852" style="262" customWidth="1"/>
    <col min="4" max="4" width="19.9907407407407" style="263" customWidth="1"/>
    <col min="5" max="5" width="26.1018518518519" style="264" customWidth="1"/>
    <col min="6" max="6" width="12.3240740740741" style="263" customWidth="1"/>
    <col min="7" max="7" width="22.4444444444444" style="263" customWidth="1"/>
    <col min="8" max="8" width="99.6018518518518" style="263" customWidth="1"/>
    <col min="9" max="257" width="8.99074074074074" style="228"/>
  </cols>
  <sheetData>
    <row r="1" spans="2:8">
      <c r="B1" s="119"/>
      <c r="H1" s="119"/>
    </row>
    <row r="2" ht="24.6" spans="5:7">
      <c r="E2" s="265" t="s">
        <v>112</v>
      </c>
      <c r="F2" s="265"/>
      <c r="G2" s="266"/>
    </row>
    <row r="3" ht="13.5" customHeight="1" spans="6:7">
      <c r="F3" s="267"/>
      <c r="G3" s="267"/>
    </row>
    <row r="4" ht="14.25" customHeight="1" spans="1:8">
      <c r="A4" s="268" t="s">
        <v>87</v>
      </c>
      <c r="B4" s="268"/>
      <c r="C4" s="268"/>
      <c r="D4" s="268"/>
      <c r="E4" s="233" t="s">
        <v>88</v>
      </c>
      <c r="F4" s="233"/>
      <c r="G4" s="233"/>
      <c r="H4" s="233"/>
    </row>
    <row r="5" ht="14.25" customHeight="1" spans="1:8">
      <c r="A5" s="268" t="s">
        <v>91</v>
      </c>
      <c r="B5" s="268"/>
      <c r="C5" s="268"/>
      <c r="D5" s="268"/>
      <c r="E5" s="233" t="s">
        <v>92</v>
      </c>
      <c r="F5" s="233"/>
      <c r="G5" s="233"/>
      <c r="H5" s="233"/>
    </row>
    <row r="6" ht="14.25" customHeight="1" spans="1:8">
      <c r="A6" s="269" t="s">
        <v>113</v>
      </c>
      <c r="B6" s="269"/>
      <c r="C6" s="269"/>
      <c r="D6" s="269"/>
      <c r="E6" s="270">
        <v>8</v>
      </c>
      <c r="F6" s="271"/>
      <c r="G6" s="271"/>
      <c r="H6" s="272"/>
    </row>
    <row r="7" ht="12.75" customHeight="1" spans="1:8">
      <c r="A7" s="273" t="s">
        <v>114</v>
      </c>
      <c r="B7" s="273"/>
      <c r="C7" s="273"/>
      <c r="D7" s="273"/>
      <c r="E7" s="274" t="s">
        <v>115</v>
      </c>
      <c r="F7" s="274"/>
      <c r="G7" s="274"/>
      <c r="H7" s="274"/>
    </row>
    <row r="8" spans="1:8">
      <c r="A8" s="275"/>
      <c r="B8" s="275"/>
      <c r="C8" s="275"/>
      <c r="D8" s="276"/>
      <c r="E8" s="277"/>
      <c r="F8" s="276"/>
      <c r="G8" s="276"/>
      <c r="H8" s="276"/>
    </row>
    <row r="9" spans="1:8">
      <c r="A9" s="278"/>
      <c r="B9" s="278"/>
      <c r="C9" s="278"/>
      <c r="D9" s="279"/>
      <c r="E9" s="280"/>
      <c r="F9" s="279"/>
      <c r="G9" s="279"/>
      <c r="H9" s="279"/>
    </row>
    <row r="10" ht="24" customHeight="1" spans="1:8">
      <c r="A10" s="281" t="s">
        <v>116</v>
      </c>
      <c r="B10" s="282" t="s">
        <v>117</v>
      </c>
      <c r="C10" s="283" t="s">
        <v>118</v>
      </c>
      <c r="D10" s="284" t="s">
        <v>119</v>
      </c>
      <c r="E10" s="285" t="s">
        <v>120</v>
      </c>
      <c r="F10" s="284" t="s">
        <v>121</v>
      </c>
      <c r="G10" s="286" t="s">
        <v>122</v>
      </c>
      <c r="H10" s="287" t="s">
        <v>123</v>
      </c>
    </row>
    <row r="11" spans="1:8">
      <c r="A11" s="288">
        <v>1</v>
      </c>
      <c r="B11" s="289" t="s">
        <v>124</v>
      </c>
      <c r="C11" s="289" t="s">
        <v>125</v>
      </c>
      <c r="D11" s="290" t="s">
        <v>126</v>
      </c>
      <c r="E11" s="291" t="s">
        <v>127</v>
      </c>
      <c r="F11" s="292" t="s">
        <v>128</v>
      </c>
      <c r="G11" s="293" t="s">
        <v>129</v>
      </c>
      <c r="H11" s="294" t="s">
        <v>130</v>
      </c>
    </row>
    <row r="12" spans="1:8">
      <c r="A12" s="288">
        <v>2</v>
      </c>
      <c r="B12" s="289" t="s">
        <v>131</v>
      </c>
      <c r="C12" s="289" t="s">
        <v>125</v>
      </c>
      <c r="D12" s="290" t="s">
        <v>132</v>
      </c>
      <c r="E12" s="291" t="s">
        <v>133</v>
      </c>
      <c r="F12" s="292" t="s">
        <v>134</v>
      </c>
      <c r="G12" s="293" t="s">
        <v>135</v>
      </c>
      <c r="H12" s="294" t="s">
        <v>136</v>
      </c>
    </row>
    <row r="13" spans="1:8">
      <c r="A13" s="288">
        <v>3</v>
      </c>
      <c r="B13" s="289" t="s">
        <v>137</v>
      </c>
      <c r="C13" s="289" t="s">
        <v>125</v>
      </c>
      <c r="D13" s="290" t="s">
        <v>138</v>
      </c>
      <c r="E13" s="291" t="s">
        <v>139</v>
      </c>
      <c r="F13" s="292" t="s">
        <v>140</v>
      </c>
      <c r="G13" s="293" t="s">
        <v>135</v>
      </c>
      <c r="H13" s="294" t="s">
        <v>141</v>
      </c>
    </row>
    <row r="14" spans="1:8">
      <c r="A14" s="288">
        <v>4</v>
      </c>
      <c r="B14" s="289" t="s">
        <v>142</v>
      </c>
      <c r="C14" s="289" t="s">
        <v>143</v>
      </c>
      <c r="D14" s="290" t="s">
        <v>144</v>
      </c>
      <c r="E14" s="291" t="s">
        <v>145</v>
      </c>
      <c r="F14" s="292" t="s">
        <v>146</v>
      </c>
      <c r="G14" s="293" t="s">
        <v>135</v>
      </c>
      <c r="H14" s="294" t="s">
        <v>147</v>
      </c>
    </row>
    <row r="15" spans="1:8">
      <c r="A15" s="288">
        <v>5</v>
      </c>
      <c r="B15" s="289" t="s">
        <v>148</v>
      </c>
      <c r="C15" s="289" t="s">
        <v>149</v>
      </c>
      <c r="D15" s="290" t="s">
        <v>150</v>
      </c>
      <c r="E15" s="291" t="s">
        <v>151</v>
      </c>
      <c r="F15" s="292" t="s">
        <v>152</v>
      </c>
      <c r="G15" s="293" t="s">
        <v>135</v>
      </c>
      <c r="H15" s="294" t="s">
        <v>153</v>
      </c>
    </row>
    <row r="16" spans="1:8">
      <c r="A16" s="288">
        <v>6</v>
      </c>
      <c r="B16" s="289" t="s">
        <v>154</v>
      </c>
      <c r="C16" s="289" t="s">
        <v>155</v>
      </c>
      <c r="D16" s="290" t="s">
        <v>156</v>
      </c>
      <c r="E16" s="291" t="s">
        <v>157</v>
      </c>
      <c r="F16" s="292" t="s">
        <v>158</v>
      </c>
      <c r="G16" s="293" t="s">
        <v>159</v>
      </c>
      <c r="H16" s="294" t="s">
        <v>160</v>
      </c>
    </row>
    <row r="17" spans="1:8">
      <c r="A17" s="288">
        <v>7</v>
      </c>
      <c r="B17" s="289" t="s">
        <v>161</v>
      </c>
      <c r="C17" s="289" t="s">
        <v>155</v>
      </c>
      <c r="D17" s="290" t="s">
        <v>162</v>
      </c>
      <c r="E17" s="291" t="s">
        <v>163</v>
      </c>
      <c r="F17" s="292" t="s">
        <v>164</v>
      </c>
      <c r="G17" s="293" t="s">
        <v>159</v>
      </c>
      <c r="H17" s="294" t="s">
        <v>165</v>
      </c>
    </row>
    <row r="18" spans="1:8">
      <c r="A18" s="288">
        <v>8</v>
      </c>
      <c r="B18" s="289" t="s">
        <v>166</v>
      </c>
      <c r="C18" s="289" t="s">
        <v>167</v>
      </c>
      <c r="D18" s="290" t="s">
        <v>168</v>
      </c>
      <c r="E18" s="291" t="s">
        <v>169</v>
      </c>
      <c r="F18" s="292" t="s">
        <v>170</v>
      </c>
      <c r="G18" s="293" t="s">
        <v>159</v>
      </c>
      <c r="H18" s="294" t="s">
        <v>171</v>
      </c>
    </row>
    <row r="19" spans="1:8">
      <c r="A19" s="288">
        <v>9</v>
      </c>
      <c r="B19" s="289" t="s">
        <v>172</v>
      </c>
      <c r="C19" s="289" t="s">
        <v>173</v>
      </c>
      <c r="D19" s="290" t="s">
        <v>174</v>
      </c>
      <c r="E19" s="291" t="s">
        <v>175</v>
      </c>
      <c r="F19" s="292" t="s">
        <v>176</v>
      </c>
      <c r="G19" s="293" t="s">
        <v>177</v>
      </c>
      <c r="H19" s="294" t="s">
        <v>178</v>
      </c>
    </row>
    <row r="20" spans="1:8">
      <c r="A20" s="288">
        <v>10</v>
      </c>
      <c r="B20" s="289" t="s">
        <v>179</v>
      </c>
      <c r="C20" s="289" t="s">
        <v>180</v>
      </c>
      <c r="D20" s="290" t="s">
        <v>181</v>
      </c>
      <c r="E20" s="291" t="s">
        <v>180</v>
      </c>
      <c r="F20" s="292" t="s">
        <v>182</v>
      </c>
      <c r="G20" s="293" t="s">
        <v>159</v>
      </c>
      <c r="H20" s="294" t="s">
        <v>183</v>
      </c>
    </row>
    <row r="21" spans="1:8">
      <c r="A21" s="288">
        <v>11</v>
      </c>
      <c r="B21" s="289" t="s">
        <v>184</v>
      </c>
      <c r="C21" s="289" t="s">
        <v>185</v>
      </c>
      <c r="D21" s="290" t="s">
        <v>186</v>
      </c>
      <c r="E21" s="291" t="s">
        <v>187</v>
      </c>
      <c r="F21" s="292" t="s">
        <v>188</v>
      </c>
      <c r="G21" s="293" t="s">
        <v>129</v>
      </c>
      <c r="H21" s="294" t="s">
        <v>189</v>
      </c>
    </row>
    <row r="22" spans="1:8">
      <c r="A22" s="288"/>
      <c r="B22" s="289"/>
      <c r="D22" s="290"/>
      <c r="E22" s="291"/>
      <c r="F22" s="295"/>
      <c r="G22" s="295"/>
      <c r="H22" s="294"/>
    </row>
    <row r="23" spans="1:8">
      <c r="A23" s="296"/>
      <c r="B23" s="297"/>
      <c r="C23" s="297"/>
      <c r="D23" s="298"/>
      <c r="E23" s="299"/>
      <c r="F23" s="300"/>
      <c r="G23" s="300"/>
      <c r="H23" s="301"/>
    </row>
  </sheetData>
  <mergeCells count="7">
    <mergeCell ref="A4:D4"/>
    <mergeCell ref="E4:H4"/>
    <mergeCell ref="A5:D5"/>
    <mergeCell ref="E5:H5"/>
    <mergeCell ref="A6:D6"/>
    <mergeCell ref="A7:D7"/>
    <mergeCell ref="E7:H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0"/>
  <sheetViews>
    <sheetView topLeftCell="A23" workbookViewId="0">
      <selection activeCell="A1" sqref="A1"/>
    </sheetView>
  </sheetViews>
  <sheetFormatPr defaultColWidth="8.99074074074074" defaultRowHeight="13.2"/>
  <cols>
    <col min="1" max="1" width="15.3333333333333" style="228" customWidth="1"/>
    <col min="2" max="2" width="26.6574074074074" style="228" customWidth="1"/>
    <col min="3" max="3" width="12.1018518518519" style="228" customWidth="1"/>
    <col min="4" max="5" width="9.65740740740741" style="228" customWidth="1"/>
    <col min="6" max="8" width="5.10185185185185" style="228" customWidth="1"/>
    <col min="9" max="9" width="20.9907407407407" style="228" customWidth="1"/>
    <col min="10" max="10" width="33.1018518518519" style="228" customWidth="1"/>
    <col min="11" max="257" width="8.99074074074074" style="228"/>
  </cols>
  <sheetData>
    <row r="2" ht="25.5" customHeight="1" spans="1:9">
      <c r="A2" s="229" t="s">
        <v>190</v>
      </c>
      <c r="B2" s="229"/>
      <c r="C2" s="229"/>
      <c r="D2" s="229"/>
      <c r="E2" s="229"/>
      <c r="F2" s="229"/>
      <c r="G2" s="229"/>
      <c r="H2" s="229"/>
      <c r="I2" s="229"/>
    </row>
    <row r="3" ht="14.25" customHeight="1" spans="1:9">
      <c r="A3" s="230"/>
      <c r="B3" s="231"/>
      <c r="C3" s="231"/>
      <c r="D3" s="231"/>
      <c r="E3" s="231"/>
      <c r="F3" s="231"/>
      <c r="G3" s="231"/>
      <c r="H3" s="231"/>
      <c r="I3" s="259"/>
    </row>
    <row r="4" ht="13.5" customHeight="1" spans="1:9">
      <c r="A4" s="232" t="s">
        <v>87</v>
      </c>
      <c r="B4" s="233" t="s">
        <v>88</v>
      </c>
      <c r="C4" s="233"/>
      <c r="D4" s="234" t="s">
        <v>89</v>
      </c>
      <c r="E4" s="234"/>
      <c r="F4" s="235" t="s">
        <v>90</v>
      </c>
      <c r="G4" s="235"/>
      <c r="H4" s="235"/>
      <c r="I4" s="235"/>
    </row>
    <row r="5" ht="13.5" customHeight="1" spans="1:9">
      <c r="A5" s="232" t="s">
        <v>91</v>
      </c>
      <c r="B5" s="233" t="s">
        <v>92</v>
      </c>
      <c r="C5" s="233"/>
      <c r="D5" s="234" t="s">
        <v>93</v>
      </c>
      <c r="E5" s="234"/>
      <c r="F5" s="235" t="s">
        <v>94</v>
      </c>
      <c r="G5" s="235"/>
      <c r="H5" s="235"/>
      <c r="I5" s="235"/>
    </row>
    <row r="6" ht="12.75" customHeight="1" spans="1:9">
      <c r="A6" s="236" t="s">
        <v>95</v>
      </c>
      <c r="B6" s="233"/>
      <c r="C6" s="233"/>
      <c r="D6" s="234" t="s">
        <v>96</v>
      </c>
      <c r="E6" s="234"/>
      <c r="F6" s="237" t="s">
        <v>97</v>
      </c>
      <c r="G6" s="237"/>
      <c r="H6" s="237"/>
      <c r="I6" s="237"/>
    </row>
    <row r="7" ht="15.75" customHeight="1" spans="1:9">
      <c r="A7" s="236" t="s">
        <v>191</v>
      </c>
      <c r="B7" s="238" t="s">
        <v>192</v>
      </c>
      <c r="C7" s="238"/>
      <c r="D7" s="238"/>
      <c r="E7" s="238"/>
      <c r="F7" s="238"/>
      <c r="G7" s="238"/>
      <c r="H7" s="238"/>
      <c r="I7" s="238"/>
    </row>
    <row r="8" ht="14.25" customHeight="1" spans="1:9">
      <c r="A8" s="239"/>
      <c r="B8" s="240"/>
      <c r="C8" s="231"/>
      <c r="D8" s="231"/>
      <c r="E8" s="231"/>
      <c r="F8" s="231"/>
      <c r="G8" s="231"/>
      <c r="H8" s="231"/>
      <c r="I8" s="259"/>
    </row>
    <row r="9" spans="1:9">
      <c r="A9" s="239"/>
      <c r="B9" s="240"/>
      <c r="C9" s="231"/>
      <c r="D9" s="231"/>
      <c r="E9" s="231"/>
      <c r="F9" s="231"/>
      <c r="G9" s="231"/>
      <c r="H9" s="231"/>
      <c r="I9" s="259"/>
    </row>
    <row r="10" spans="1:9">
      <c r="A10" s="241"/>
      <c r="B10" s="241"/>
      <c r="C10" s="241"/>
      <c r="D10" s="241"/>
      <c r="E10" s="241"/>
      <c r="F10" s="241"/>
      <c r="G10" s="241"/>
      <c r="H10" s="241"/>
      <c r="I10" s="241"/>
    </row>
    <row r="11" ht="14.25" customHeight="1" spans="1:9">
      <c r="A11" s="242" t="s">
        <v>116</v>
      </c>
      <c r="B11" s="243" t="s">
        <v>193</v>
      </c>
      <c r="C11" s="244" t="s">
        <v>194</v>
      </c>
      <c r="D11" s="243" t="s">
        <v>195</v>
      </c>
      <c r="E11" s="245" t="s">
        <v>196</v>
      </c>
      <c r="F11" s="245" t="s">
        <v>197</v>
      </c>
      <c r="G11" s="245" t="s">
        <v>106</v>
      </c>
      <c r="H11" s="245" t="s">
        <v>198</v>
      </c>
      <c r="I11" s="260" t="s">
        <v>199</v>
      </c>
    </row>
    <row r="12" spans="1:9">
      <c r="A12" s="246">
        <v>1</v>
      </c>
      <c r="B12" s="247" t="s">
        <v>128</v>
      </c>
      <c r="C12" s="248">
        <f>'UT Lab 1'!A7</f>
        <v>9</v>
      </c>
      <c r="D12" s="248">
        <f>'UT Lab 1'!C7</f>
        <v>0</v>
      </c>
      <c r="E12" s="248">
        <f>'UT Lab 1'!F7</f>
        <v>0</v>
      </c>
      <c r="F12" s="249">
        <f>'UT Lab 1'!L7</f>
        <v>9</v>
      </c>
      <c r="G12" s="248">
        <f>'UT Lab 1'!M7</f>
        <v>0</v>
      </c>
      <c r="H12" s="248">
        <f>'UT Lab 1'!N7</f>
        <v>0</v>
      </c>
      <c r="I12" s="248">
        <f>'UT Lab 1'!O7</f>
        <v>9</v>
      </c>
    </row>
    <row r="13" spans="1:9">
      <c r="A13" s="246">
        <v>2</v>
      </c>
      <c r="B13" s="247" t="s">
        <v>134</v>
      </c>
      <c r="C13" s="248">
        <f>'UT Lab 2'!A7</f>
        <v>1</v>
      </c>
      <c r="D13" s="248">
        <f>'UT Lab 2'!C7</f>
        <v>6</v>
      </c>
      <c r="E13" s="248">
        <f>'UT Lab 2'!F7</f>
        <v>0</v>
      </c>
      <c r="F13" s="249">
        <f>'UT Lab 2'!L7</f>
        <v>7</v>
      </c>
      <c r="G13" s="248">
        <f>'UT Lab 2'!M7</f>
        <v>0</v>
      </c>
      <c r="H13" s="248">
        <f>'UT Lab 2'!N7</f>
        <v>0</v>
      </c>
      <c r="I13" s="248">
        <f>'UT Lab 2'!O7</f>
        <v>7</v>
      </c>
    </row>
    <row r="14" spans="1:9">
      <c r="A14" s="246">
        <v>3</v>
      </c>
      <c r="B14" s="247" t="s">
        <v>140</v>
      </c>
      <c r="C14" s="248">
        <f>'UT Lab 3'!A7</f>
        <v>1</v>
      </c>
      <c r="D14" s="248">
        <f>'UT Lab 3'!C7</f>
        <v>2</v>
      </c>
      <c r="E14" s="248">
        <f>'UT Lab 3'!F7</f>
        <v>0</v>
      </c>
      <c r="F14" s="249">
        <f>'UT Lab 3'!L7</f>
        <v>3</v>
      </c>
      <c r="G14" s="248">
        <f>'UT Lab 3'!M7</f>
        <v>0</v>
      </c>
      <c r="H14" s="248">
        <f>'UT Lab 3'!N7</f>
        <v>0</v>
      </c>
      <c r="I14" s="248">
        <f>'UT Lab 3'!O7</f>
        <v>3</v>
      </c>
    </row>
    <row r="15" spans="1:9">
      <c r="A15" s="246">
        <v>4</v>
      </c>
      <c r="B15" s="247" t="s">
        <v>146</v>
      </c>
      <c r="C15" s="248">
        <f>'UT Lab 4'!A7</f>
        <v>1</v>
      </c>
      <c r="D15" s="248">
        <f>'UT Lab 4'!C7</f>
        <v>2</v>
      </c>
      <c r="E15" s="248">
        <f>'UT Lab 4'!F7</f>
        <v>0</v>
      </c>
      <c r="F15" s="249">
        <f>'UT Lab 4'!L7</f>
        <v>3</v>
      </c>
      <c r="G15" s="248">
        <f>'UT Lab 4'!M7</f>
        <v>0</v>
      </c>
      <c r="H15" s="248">
        <f>'UT Lab 4'!N7</f>
        <v>0</v>
      </c>
      <c r="I15" s="248">
        <f>'UT Lab 4'!O7</f>
        <v>3</v>
      </c>
    </row>
    <row r="16" spans="1:9">
      <c r="A16" s="246">
        <v>5</v>
      </c>
      <c r="B16" s="247" t="s">
        <v>152</v>
      </c>
      <c r="C16" s="248">
        <f>'UT Lab 5'!A7</f>
        <v>1</v>
      </c>
      <c r="D16" s="248">
        <f>'UT Lab 5'!C7</f>
        <v>2</v>
      </c>
      <c r="E16" s="248">
        <f>'UT Lab 5'!F7</f>
        <v>0</v>
      </c>
      <c r="F16" s="249">
        <f>'UT Lab 5'!L7</f>
        <v>3</v>
      </c>
      <c r="G16" s="248">
        <f>'UT Lab 5'!M7</f>
        <v>0</v>
      </c>
      <c r="H16" s="248">
        <f>'UT Lab 5'!N7</f>
        <v>0</v>
      </c>
      <c r="I16" s="248">
        <f>'UT Lab 5'!O7</f>
        <v>3</v>
      </c>
    </row>
    <row r="17" spans="1:9">
      <c r="A17" s="246">
        <v>6</v>
      </c>
      <c r="B17" s="247" t="s">
        <v>158</v>
      </c>
      <c r="C17" s="248">
        <f>'UT Lab 6'!A7</f>
        <v>9</v>
      </c>
      <c r="D17" s="248">
        <f>'UT Lab 6'!C7</f>
        <v>1</v>
      </c>
      <c r="E17" s="248">
        <f>'UT Lab 6'!F7</f>
        <v>0</v>
      </c>
      <c r="F17" s="249">
        <f>'UT Lab 6'!L7</f>
        <v>10</v>
      </c>
      <c r="G17" s="248">
        <f>'UT Lab 6'!M7</f>
        <v>0</v>
      </c>
      <c r="H17" s="248">
        <f>'UT Lab 6'!N7</f>
        <v>0</v>
      </c>
      <c r="I17" s="248">
        <f>'UT Lab 6'!O7</f>
        <v>10</v>
      </c>
    </row>
    <row r="18" spans="1:9">
      <c r="A18" s="246">
        <v>7</v>
      </c>
      <c r="B18" s="247" t="s">
        <v>164</v>
      </c>
      <c r="C18" s="248">
        <f>'UT Lab 7'!A7</f>
        <v>13</v>
      </c>
      <c r="D18" s="248">
        <f>'UT Lab 7'!C7</f>
        <v>0</v>
      </c>
      <c r="E18" s="248">
        <f>'UT Lab 7'!F7</f>
        <v>0</v>
      </c>
      <c r="F18" s="249">
        <f>'UT Lab 7'!L7</f>
        <v>13</v>
      </c>
      <c r="G18" s="248">
        <f>'UT Lab 7'!M7</f>
        <v>0</v>
      </c>
      <c r="H18" s="248">
        <f>'UT Lab 7'!N7</f>
        <v>0</v>
      </c>
      <c r="I18" s="248">
        <f>'UT Lab 7'!O7</f>
        <v>13</v>
      </c>
    </row>
    <row r="19" spans="1:9">
      <c r="A19" s="246">
        <v>8</v>
      </c>
      <c r="B19" s="247" t="s">
        <v>170</v>
      </c>
      <c r="C19" s="248">
        <f>'UT Lab 8'!A7</f>
        <v>6</v>
      </c>
      <c r="D19" s="248">
        <f>'UT Lab 8'!C7</f>
        <v>0</v>
      </c>
      <c r="E19" s="248">
        <f>'UT Lab 8'!F7</f>
        <v>0</v>
      </c>
      <c r="F19" s="249">
        <f>'UT Lab 8'!L7</f>
        <v>6</v>
      </c>
      <c r="G19" s="248">
        <f>'UT Lab 8'!M7</f>
        <v>0</v>
      </c>
      <c r="H19" s="248">
        <f>'UT Lab 8'!N7</f>
        <v>0</v>
      </c>
      <c r="I19" s="248">
        <f>'UT Lab 8'!O7</f>
        <v>6</v>
      </c>
    </row>
    <row r="20" spans="1:9">
      <c r="A20" s="246">
        <v>9</v>
      </c>
      <c r="B20" s="247" t="s">
        <v>176</v>
      </c>
      <c r="C20" s="248">
        <f>'UT Lab 9'!A7</f>
        <v>7</v>
      </c>
      <c r="D20" s="248">
        <f>'UT Lab 9'!C7</f>
        <v>0</v>
      </c>
      <c r="E20" s="248">
        <f>'UT Lab 9'!F7</f>
        <v>0</v>
      </c>
      <c r="F20" s="249">
        <f>'UT Lab 9'!L7</f>
        <v>7</v>
      </c>
      <c r="G20" s="248">
        <f>'UT Lab 9'!M7</f>
        <v>0</v>
      </c>
      <c r="H20" s="248">
        <f>'UT Lab 9'!N7</f>
        <v>0</v>
      </c>
      <c r="I20" s="248">
        <f>'UT Lab 9'!O7</f>
        <v>7</v>
      </c>
    </row>
    <row r="21" spans="1:9">
      <c r="A21" s="246">
        <v>10</v>
      </c>
      <c r="B21" s="247" t="s">
        <v>182</v>
      </c>
      <c r="C21" s="248">
        <f>'UT Lab10'!A7</f>
        <v>1</v>
      </c>
      <c r="D21" s="248">
        <f>'UT Lab10'!C7</f>
        <v>2</v>
      </c>
      <c r="E21" s="248">
        <f>'UT Lab10'!F7</f>
        <v>0</v>
      </c>
      <c r="F21" s="249">
        <f>'UT Lab10'!L7</f>
        <v>3</v>
      </c>
      <c r="G21" s="248">
        <f>'UT Lab10'!M7</f>
        <v>0</v>
      </c>
      <c r="H21" s="248">
        <f>'UT Lab10'!N7</f>
        <v>0</v>
      </c>
      <c r="I21" s="248">
        <f>'UT Lab10'!O7</f>
        <v>3</v>
      </c>
    </row>
    <row r="22" spans="1:9">
      <c r="A22" s="246">
        <v>11</v>
      </c>
      <c r="B22" s="247" t="s">
        <v>188</v>
      </c>
      <c r="C22" s="248">
        <f>'UT Lab11'!A7</f>
        <v>7</v>
      </c>
      <c r="D22" s="248">
        <f>'UT Lab11'!C7</f>
        <v>0</v>
      </c>
      <c r="E22" s="248">
        <f>'UT Lab11'!F7</f>
        <v>0</v>
      </c>
      <c r="F22" s="249">
        <f>'UT Lab11'!L7</f>
        <v>7</v>
      </c>
      <c r="G22" s="248">
        <f>'UT Lab11'!M7</f>
        <v>0</v>
      </c>
      <c r="H22" s="248">
        <f>'UT Lab11'!N7</f>
        <v>0</v>
      </c>
      <c r="I22" s="248">
        <f>'UT Lab11'!O7</f>
        <v>7</v>
      </c>
    </row>
    <row r="23" ht="13.8" spans="1:9">
      <c r="A23" s="246"/>
      <c r="B23" s="250"/>
      <c r="C23" s="248"/>
      <c r="D23" s="248"/>
      <c r="E23" s="248"/>
      <c r="F23" s="249"/>
      <c r="G23" s="248"/>
      <c r="H23" s="248"/>
      <c r="I23" s="248"/>
    </row>
    <row r="24" ht="13.8" spans="1:9">
      <c r="A24" s="251"/>
      <c r="B24" s="252" t="s">
        <v>200</v>
      </c>
      <c r="C24" s="253">
        <f t="shared" ref="C24:I24" si="0">SUM(C10:C23)</f>
        <v>56</v>
      </c>
      <c r="D24" s="253">
        <f t="shared" si="0"/>
        <v>15</v>
      </c>
      <c r="E24" s="253">
        <f t="shared" si="0"/>
        <v>0</v>
      </c>
      <c r="F24" s="253">
        <f t="shared" si="0"/>
        <v>71</v>
      </c>
      <c r="G24" s="253">
        <f t="shared" si="0"/>
        <v>0</v>
      </c>
      <c r="H24" s="253">
        <f t="shared" si="0"/>
        <v>0</v>
      </c>
      <c r="I24" s="253">
        <f t="shared" si="0"/>
        <v>71</v>
      </c>
    </row>
    <row r="25" spans="1:9">
      <c r="A25" s="254"/>
      <c r="B25" s="241"/>
      <c r="C25" s="255"/>
      <c r="D25" s="256"/>
      <c r="E25" s="256"/>
      <c r="F25" s="256"/>
      <c r="G25" s="256"/>
      <c r="H25" s="256"/>
      <c r="I25" s="256"/>
    </row>
    <row r="26" spans="1:9">
      <c r="A26" s="241"/>
      <c r="B26" s="257" t="s">
        <v>201</v>
      </c>
      <c r="C26" s="241"/>
      <c r="D26" s="258">
        <f>(C24+D24)*100/(I24)</f>
        <v>100</v>
      </c>
      <c r="E26" s="241" t="s">
        <v>202</v>
      </c>
      <c r="F26" s="241"/>
      <c r="G26" s="241"/>
      <c r="H26" s="241"/>
      <c r="I26" s="261"/>
    </row>
    <row r="27" spans="1:9">
      <c r="A27" s="241"/>
      <c r="B27" s="257" t="s">
        <v>203</v>
      </c>
      <c r="C27" s="241"/>
      <c r="D27" s="258">
        <f>C24*100/(I24)</f>
        <v>78.8732394366197</v>
      </c>
      <c r="E27" s="241" t="s">
        <v>202</v>
      </c>
      <c r="F27" s="241"/>
      <c r="G27" s="241"/>
      <c r="H27" s="241"/>
      <c r="I27" s="261"/>
    </row>
    <row r="28" spans="2:5">
      <c r="B28" s="257" t="s">
        <v>204</v>
      </c>
      <c r="C28" s="241"/>
      <c r="D28" s="258">
        <f>F24*100/I24</f>
        <v>100</v>
      </c>
      <c r="E28" s="241" t="s">
        <v>202</v>
      </c>
    </row>
    <row r="29" spans="2:5">
      <c r="B29" s="257" t="s">
        <v>205</v>
      </c>
      <c r="D29" s="258">
        <f>G24*100/I24</f>
        <v>0</v>
      </c>
      <c r="E29" s="241" t="s">
        <v>202</v>
      </c>
    </row>
    <row r="30" spans="2:5">
      <c r="B30" s="257" t="s">
        <v>206</v>
      </c>
      <c r="D30" s="258">
        <f>H24*100/I24</f>
        <v>0</v>
      </c>
      <c r="E30" s="241" t="s">
        <v>202</v>
      </c>
    </row>
  </sheetData>
  <mergeCells count="11">
    <mergeCell ref="A2:I2"/>
    <mergeCell ref="B4:C4"/>
    <mergeCell ref="D4:E4"/>
    <mergeCell ref="F4:I4"/>
    <mergeCell ref="B5:C5"/>
    <mergeCell ref="D5:E5"/>
    <mergeCell ref="F5:I5"/>
    <mergeCell ref="B6:C6"/>
    <mergeCell ref="D6:E6"/>
    <mergeCell ref="F6:I6"/>
    <mergeCell ref="B7:I7"/>
  </mergeCells>
  <pageMargins left="0.7" right="0.7" top="0.75" bottom="0.75" header="0.3" footer="0.3"/>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9"/>
  <sheetViews>
    <sheetView zoomScale="94" zoomScaleNormal="94" topLeftCell="A18" workbookViewId="0">
      <selection activeCell="D41" sqref="D41"/>
    </sheetView>
  </sheetViews>
  <sheetFormatPr defaultColWidth="8.99074074074074" defaultRowHeight="13.2"/>
  <cols>
    <col min="1" max="1" width="8.10185185185185" style="114" customWidth="1"/>
    <col min="2" max="2" width="13.3333333333333" style="115" customWidth="1"/>
    <col min="3" max="3" width="33.2407407407407" style="114" customWidth="1"/>
    <col min="4" max="4" width="33.9166666666667" style="116" customWidth="1"/>
    <col min="5" max="5" width="1.10185185185185" style="114" hidden="1" customWidth="1"/>
    <col min="6" max="21" width="2.76851851851852" style="114" customWidth="1"/>
    <col min="22" max="257" width="8.99074074074074" style="114"/>
  </cols>
  <sheetData>
    <row r="1" ht="13.5" customHeight="1" spans="1:4">
      <c r="A1" s="117"/>
      <c r="B1" s="118"/>
      <c r="C1" s="119"/>
      <c r="D1" s="119"/>
    </row>
    <row r="2" ht="13.5" customHeight="1" spans="1:22">
      <c r="A2" s="120" t="s">
        <v>207</v>
      </c>
      <c r="B2" s="120"/>
      <c r="C2" s="121" t="s">
        <v>127</v>
      </c>
      <c r="D2" s="121"/>
      <c r="E2" s="121"/>
      <c r="F2" s="122" t="s">
        <v>119</v>
      </c>
      <c r="G2" s="122"/>
      <c r="H2" s="122"/>
      <c r="I2" s="122"/>
      <c r="J2" s="122"/>
      <c r="K2" s="122"/>
      <c r="L2" s="197" t="s">
        <v>126</v>
      </c>
      <c r="M2" s="197"/>
      <c r="N2" s="197"/>
      <c r="O2" s="197"/>
      <c r="P2" s="197"/>
      <c r="Q2" s="197"/>
      <c r="R2" s="197"/>
      <c r="S2" s="197"/>
      <c r="T2" s="197"/>
      <c r="V2" s="206"/>
    </row>
    <row r="3" ht="30"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9"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214</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COUNTIF(F46:HQ46,"P")</f>
        <v>9</v>
      </c>
      <c r="B7" s="131"/>
      <c r="C7" s="132">
        <f>COUNTIF(F46:HQ46,"F")</f>
        <v>0</v>
      </c>
      <c r="D7" s="132"/>
      <c r="E7" s="132"/>
      <c r="F7" s="132">
        <f>SUM(O7,-A7,-C7)</f>
        <v>0</v>
      </c>
      <c r="G7" s="132"/>
      <c r="H7" s="132"/>
      <c r="I7" s="132"/>
      <c r="J7" s="132"/>
      <c r="K7" s="132"/>
      <c r="L7" s="203">
        <f>COUNTIF(E45:HQ45,"N")</f>
        <v>9</v>
      </c>
      <c r="M7" s="203">
        <f>COUNTIF(E45:HQ45,"A")</f>
        <v>0</v>
      </c>
      <c r="N7" s="203">
        <f>COUNTIF(E45:HQ45,"B")</f>
        <v>0</v>
      </c>
      <c r="O7" s="204">
        <f>COUNTA(E9:HT9)</f>
        <v>9</v>
      </c>
      <c r="P7" s="204"/>
      <c r="Q7" s="204"/>
      <c r="R7" s="204"/>
      <c r="S7" s="204"/>
      <c r="T7" s="204"/>
      <c r="U7" s="208"/>
    </row>
    <row r="8" ht="13.95"/>
    <row r="9" ht="46.5" customHeight="1" spans="1:23">
      <c r="A9" s="133"/>
      <c r="B9" s="134"/>
      <c r="C9" s="135"/>
      <c r="D9" s="136"/>
      <c r="E9" s="135"/>
      <c r="F9" s="137" t="s">
        <v>216</v>
      </c>
      <c r="G9" s="137" t="s">
        <v>217</v>
      </c>
      <c r="H9" s="137" t="s">
        <v>218</v>
      </c>
      <c r="I9" s="137" t="s">
        <v>219</v>
      </c>
      <c r="J9" s="137" t="s">
        <v>220</v>
      </c>
      <c r="K9" s="137" t="s">
        <v>221</v>
      </c>
      <c r="L9" s="137" t="s">
        <v>222</v>
      </c>
      <c r="M9" s="137" t="s">
        <v>223</v>
      </c>
      <c r="N9" s="137" t="s">
        <v>224</v>
      </c>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227</v>
      </c>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t="s">
        <v>229</v>
      </c>
      <c r="D13" s="147"/>
      <c r="E13" s="150"/>
      <c r="F13" s="148"/>
      <c r="G13" s="148"/>
      <c r="H13" s="148"/>
      <c r="I13" s="148"/>
      <c r="J13" s="148"/>
      <c r="K13" s="148"/>
      <c r="L13" s="148"/>
      <c r="M13" s="148"/>
      <c r="N13" s="148"/>
      <c r="O13" s="148"/>
      <c r="P13" s="148"/>
      <c r="Q13" s="148"/>
      <c r="R13" s="148"/>
      <c r="S13" s="148"/>
      <c r="T13" s="214"/>
    </row>
    <row r="14" ht="13.5" customHeight="1" spans="1:20">
      <c r="A14" s="144"/>
      <c r="B14" s="145"/>
      <c r="C14" s="146"/>
      <c r="D14" s="147" t="s">
        <v>230</v>
      </c>
      <c r="E14" s="152"/>
      <c r="F14" s="148" t="s">
        <v>231</v>
      </c>
      <c r="G14" s="148"/>
      <c r="H14" s="148"/>
      <c r="I14" s="148"/>
      <c r="J14" s="148"/>
      <c r="K14" s="148"/>
      <c r="L14" s="148"/>
      <c r="M14" s="148"/>
      <c r="N14" s="148"/>
      <c r="O14" s="148"/>
      <c r="P14" s="148"/>
      <c r="Q14" s="148"/>
      <c r="R14" s="148"/>
      <c r="S14" s="148"/>
      <c r="T14" s="214"/>
    </row>
    <row r="15" ht="13.5" customHeight="1" spans="1:20">
      <c r="A15" s="144"/>
      <c r="B15" s="145"/>
      <c r="C15" s="146"/>
      <c r="D15" s="153" t="s">
        <v>232</v>
      </c>
      <c r="E15" s="152"/>
      <c r="F15" s="148"/>
      <c r="G15" s="148" t="s">
        <v>231</v>
      </c>
      <c r="H15" s="148"/>
      <c r="I15" s="148"/>
      <c r="J15" s="148"/>
      <c r="K15" s="148"/>
      <c r="L15" s="148"/>
      <c r="M15" s="148"/>
      <c r="N15" s="148"/>
      <c r="O15" s="148"/>
      <c r="P15" s="148"/>
      <c r="Q15" s="148"/>
      <c r="R15" s="148"/>
      <c r="S15" s="148"/>
      <c r="T15" s="214"/>
    </row>
    <row r="16" ht="13.5" customHeight="1" spans="1:20">
      <c r="A16" s="144"/>
      <c r="B16" s="145"/>
      <c r="C16" s="146"/>
      <c r="D16" s="153" t="s">
        <v>233</v>
      </c>
      <c r="E16" s="152"/>
      <c r="F16" s="148"/>
      <c r="G16" s="148"/>
      <c r="H16" s="148" t="s">
        <v>231</v>
      </c>
      <c r="I16" s="148"/>
      <c r="J16" s="148"/>
      <c r="K16" s="148"/>
      <c r="L16" s="148"/>
      <c r="M16" s="148"/>
      <c r="N16" s="148"/>
      <c r="O16" s="148"/>
      <c r="P16" s="148"/>
      <c r="Q16" s="148"/>
      <c r="R16" s="148"/>
      <c r="S16" s="148"/>
      <c r="T16" s="214"/>
    </row>
    <row r="17" ht="13.5" customHeight="1" spans="1:20">
      <c r="A17" s="144"/>
      <c r="B17" s="145"/>
      <c r="C17" s="146"/>
      <c r="D17" s="153" t="s">
        <v>234</v>
      </c>
      <c r="E17" s="152"/>
      <c r="F17" s="148"/>
      <c r="G17" s="148"/>
      <c r="H17" s="148"/>
      <c r="I17" s="148" t="s">
        <v>231</v>
      </c>
      <c r="J17" s="148"/>
      <c r="K17" s="148"/>
      <c r="L17" s="148"/>
      <c r="M17" s="148"/>
      <c r="N17" s="148"/>
      <c r="O17" s="148"/>
      <c r="P17" s="148"/>
      <c r="Q17" s="148"/>
      <c r="R17" s="148"/>
      <c r="S17" s="148"/>
      <c r="T17" s="214"/>
    </row>
    <row r="18" ht="13.5" customHeight="1" spans="1:20">
      <c r="A18" s="144"/>
      <c r="B18" s="145"/>
      <c r="C18" s="146"/>
      <c r="D18" s="153" t="s">
        <v>235</v>
      </c>
      <c r="E18" s="152"/>
      <c r="F18" s="148"/>
      <c r="G18" s="148"/>
      <c r="H18" s="148"/>
      <c r="I18" s="148"/>
      <c r="J18" s="148" t="s">
        <v>231</v>
      </c>
      <c r="K18" s="148"/>
      <c r="L18" s="148"/>
      <c r="M18" s="148"/>
      <c r="N18" s="148"/>
      <c r="O18" s="148"/>
      <c r="P18" s="148"/>
      <c r="Q18" s="148"/>
      <c r="R18" s="148"/>
      <c r="S18" s="148"/>
      <c r="T18" s="214"/>
    </row>
    <row r="19" ht="13.5" customHeight="1" spans="1:20">
      <c r="A19" s="144"/>
      <c r="B19" s="145"/>
      <c r="C19" s="146"/>
      <c r="D19" s="154" t="s">
        <v>236</v>
      </c>
      <c r="E19" s="152"/>
      <c r="F19" s="148"/>
      <c r="G19" s="148"/>
      <c r="H19" s="148"/>
      <c r="I19" s="148"/>
      <c r="J19" s="148"/>
      <c r="K19" s="148" t="s">
        <v>231</v>
      </c>
      <c r="L19" s="148"/>
      <c r="M19" s="148"/>
      <c r="N19" s="148"/>
      <c r="O19" s="148"/>
      <c r="P19" s="148"/>
      <c r="Q19" s="148"/>
      <c r="R19" s="148"/>
      <c r="S19" s="148"/>
      <c r="T19" s="214"/>
    </row>
    <row r="20" ht="13.5" customHeight="1" spans="1:20">
      <c r="A20" s="144"/>
      <c r="B20" s="145"/>
      <c r="C20" s="146"/>
      <c r="D20" s="154" t="s">
        <v>237</v>
      </c>
      <c r="E20" s="152"/>
      <c r="F20" s="148"/>
      <c r="G20" s="148"/>
      <c r="H20" s="148"/>
      <c r="I20" s="148"/>
      <c r="J20" s="148"/>
      <c r="K20" s="148"/>
      <c r="L20" s="148" t="s">
        <v>231</v>
      </c>
      <c r="M20" s="148"/>
      <c r="N20" s="148"/>
      <c r="O20" s="148"/>
      <c r="P20" s="148"/>
      <c r="Q20" s="148"/>
      <c r="R20" s="148"/>
      <c r="S20" s="148"/>
      <c r="T20" s="214"/>
    </row>
    <row r="21" ht="13.5" customHeight="1" spans="1:20">
      <c r="A21" s="144"/>
      <c r="B21" s="145"/>
      <c r="C21" s="146"/>
      <c r="D21" s="153" t="s">
        <v>238</v>
      </c>
      <c r="E21" s="152"/>
      <c r="F21" s="148"/>
      <c r="G21" s="148"/>
      <c r="H21" s="148"/>
      <c r="I21" s="148"/>
      <c r="J21" s="148"/>
      <c r="K21" s="148"/>
      <c r="L21" s="148"/>
      <c r="M21" s="148" t="s">
        <v>231</v>
      </c>
      <c r="N21" s="148"/>
      <c r="O21" s="148"/>
      <c r="P21" s="148"/>
      <c r="Q21" s="148"/>
      <c r="R21" s="148"/>
      <c r="S21" s="148"/>
      <c r="T21" s="214"/>
    </row>
    <row r="22" ht="13.5" customHeight="1" spans="1:20">
      <c r="A22" s="144"/>
      <c r="B22" s="145"/>
      <c r="C22" s="146"/>
      <c r="D22" s="154" t="s">
        <v>239</v>
      </c>
      <c r="E22" s="152"/>
      <c r="F22" s="148"/>
      <c r="G22" s="148"/>
      <c r="H22" s="148"/>
      <c r="I22" s="148"/>
      <c r="J22" s="148"/>
      <c r="K22" s="148"/>
      <c r="L22" s="148"/>
      <c r="M22" s="148"/>
      <c r="N22" s="148" t="s">
        <v>231</v>
      </c>
      <c r="O22" s="148"/>
      <c r="P22" s="148"/>
      <c r="Q22" s="148"/>
      <c r="R22" s="148"/>
      <c r="S22" s="148"/>
      <c r="T22" s="214"/>
    </row>
    <row r="23" ht="13.5" customHeight="1" spans="1:21">
      <c r="A23" s="144"/>
      <c r="B23" s="145"/>
      <c r="C23" s="146"/>
      <c r="D23" s="153"/>
      <c r="E23" s="152"/>
      <c r="F23" s="148"/>
      <c r="G23" s="148"/>
      <c r="H23" s="148"/>
      <c r="I23" s="148"/>
      <c r="J23" s="148"/>
      <c r="K23" s="148"/>
      <c r="L23" s="148"/>
      <c r="M23" s="148"/>
      <c r="N23" s="148"/>
      <c r="O23" s="148"/>
      <c r="P23" s="148"/>
      <c r="Q23" s="148"/>
      <c r="R23" s="148"/>
      <c r="S23" s="148"/>
      <c r="T23" s="214"/>
      <c r="U23" s="215"/>
    </row>
    <row r="24" ht="13.5" customHeight="1" spans="1:20">
      <c r="A24" s="144"/>
      <c r="B24" s="145"/>
      <c r="C24" s="149" t="s">
        <v>240</v>
      </c>
      <c r="D24" s="153"/>
      <c r="E24" s="152"/>
      <c r="F24" s="148"/>
      <c r="G24" s="148"/>
      <c r="H24" s="148"/>
      <c r="I24" s="148"/>
      <c r="J24" s="148"/>
      <c r="K24" s="148"/>
      <c r="L24" s="148"/>
      <c r="M24" s="148"/>
      <c r="N24" s="148"/>
      <c r="O24" s="148"/>
      <c r="P24" s="148"/>
      <c r="Q24" s="148"/>
      <c r="R24" s="148"/>
      <c r="S24" s="148"/>
      <c r="T24" s="214"/>
    </row>
    <row r="25" ht="13.5" customHeight="1" spans="1:20">
      <c r="A25" s="144"/>
      <c r="B25" s="145"/>
      <c r="C25" s="146"/>
      <c r="D25" s="153">
        <v>123</v>
      </c>
      <c r="E25" s="152"/>
      <c r="F25" s="148" t="s">
        <v>231</v>
      </c>
      <c r="G25" s="148"/>
      <c r="H25" s="148"/>
      <c r="I25" s="148"/>
      <c r="J25" s="148"/>
      <c r="K25" s="148"/>
      <c r="L25" s="148"/>
      <c r="M25" s="148"/>
      <c r="N25" s="148"/>
      <c r="O25" s="148"/>
      <c r="P25" s="148"/>
      <c r="Q25" s="148"/>
      <c r="R25" s="148"/>
      <c r="S25" s="148"/>
      <c r="T25" s="214"/>
    </row>
    <row r="26" ht="13.5" customHeight="1" spans="1:20">
      <c r="A26" s="144"/>
      <c r="B26" s="145"/>
      <c r="C26" s="146"/>
      <c r="D26" s="153" t="s">
        <v>230</v>
      </c>
      <c r="E26" s="152"/>
      <c r="F26" s="148"/>
      <c r="G26" s="148" t="s">
        <v>231</v>
      </c>
      <c r="H26" s="148"/>
      <c r="I26" s="148"/>
      <c r="J26" s="148"/>
      <c r="K26" s="148"/>
      <c r="L26" s="148"/>
      <c r="M26" s="148"/>
      <c r="N26" s="148"/>
      <c r="O26" s="148"/>
      <c r="P26" s="148"/>
      <c r="Q26" s="148"/>
      <c r="R26" s="148"/>
      <c r="S26" s="148"/>
      <c r="T26" s="214"/>
    </row>
    <row r="27" ht="13.5" customHeight="1" spans="1:20">
      <c r="A27" s="144"/>
      <c r="B27" s="145"/>
      <c r="C27" s="146"/>
      <c r="D27" s="153" t="s">
        <v>241</v>
      </c>
      <c r="E27" s="152"/>
      <c r="F27" s="148"/>
      <c r="G27" s="148"/>
      <c r="H27" s="148" t="s">
        <v>231</v>
      </c>
      <c r="I27" s="148"/>
      <c r="J27" s="148"/>
      <c r="K27" s="148"/>
      <c r="L27" s="148"/>
      <c r="M27" s="148"/>
      <c r="N27" s="148"/>
      <c r="O27" s="148"/>
      <c r="P27" s="148"/>
      <c r="Q27" s="148"/>
      <c r="R27" s="148"/>
      <c r="S27" s="148"/>
      <c r="T27" s="214"/>
    </row>
    <row r="28" ht="13.5" customHeight="1" spans="1:20">
      <c r="A28" s="144"/>
      <c r="B28" s="156"/>
      <c r="C28" s="157"/>
      <c r="D28" s="160" t="s">
        <v>242</v>
      </c>
      <c r="E28" s="152"/>
      <c r="F28" s="159"/>
      <c r="G28" s="159"/>
      <c r="H28" s="159"/>
      <c r="I28" s="159" t="s">
        <v>231</v>
      </c>
      <c r="J28" s="159"/>
      <c r="K28" s="159"/>
      <c r="L28" s="159"/>
      <c r="M28" s="159"/>
      <c r="N28" s="159"/>
      <c r="O28" s="159"/>
      <c r="P28" s="159"/>
      <c r="Q28" s="159"/>
      <c r="R28" s="159"/>
      <c r="S28" s="159"/>
      <c r="T28" s="216"/>
    </row>
    <row r="29" ht="13.5" customHeight="1" spans="1:20">
      <c r="A29" s="144"/>
      <c r="B29" s="156"/>
      <c r="C29" s="157"/>
      <c r="D29" s="160" t="s">
        <v>243</v>
      </c>
      <c r="E29" s="152"/>
      <c r="F29" s="159"/>
      <c r="G29" s="159"/>
      <c r="H29" s="159"/>
      <c r="I29" s="159"/>
      <c r="J29" s="159" t="s">
        <v>231</v>
      </c>
      <c r="K29" s="159"/>
      <c r="L29" s="159"/>
      <c r="M29" s="159"/>
      <c r="N29" s="159"/>
      <c r="O29" s="159"/>
      <c r="P29" s="159"/>
      <c r="Q29" s="159"/>
      <c r="R29" s="159"/>
      <c r="S29" s="159"/>
      <c r="T29" s="216"/>
    </row>
    <row r="30" ht="13.5" customHeight="1" spans="1:20">
      <c r="A30" s="144"/>
      <c r="B30" s="156"/>
      <c r="C30" s="157"/>
      <c r="D30" s="160" t="s">
        <v>244</v>
      </c>
      <c r="E30" s="152"/>
      <c r="F30" s="159"/>
      <c r="G30" s="159"/>
      <c r="H30" s="159"/>
      <c r="I30" s="159"/>
      <c r="J30" s="159"/>
      <c r="K30" s="159" t="s">
        <v>231</v>
      </c>
      <c r="L30" s="159"/>
      <c r="M30" s="159"/>
      <c r="N30" s="159"/>
      <c r="O30" s="159"/>
      <c r="P30" s="159"/>
      <c r="Q30" s="159"/>
      <c r="R30" s="159"/>
      <c r="S30" s="159"/>
      <c r="T30" s="216"/>
    </row>
    <row r="31" ht="13.5" customHeight="1" spans="1:20">
      <c r="A31" s="144"/>
      <c r="B31" s="156"/>
      <c r="C31" s="157"/>
      <c r="D31" s="160" t="s">
        <v>244</v>
      </c>
      <c r="E31" s="152"/>
      <c r="F31" s="159"/>
      <c r="G31" s="159"/>
      <c r="H31" s="159"/>
      <c r="I31" s="159"/>
      <c r="J31" s="159"/>
      <c r="K31" s="159"/>
      <c r="L31" s="159" t="s">
        <v>231</v>
      </c>
      <c r="M31" s="159"/>
      <c r="N31" s="159"/>
      <c r="O31" s="159"/>
      <c r="P31" s="159"/>
      <c r="Q31" s="159"/>
      <c r="R31" s="159"/>
      <c r="S31" s="159"/>
      <c r="T31" s="216"/>
    </row>
    <row r="32" ht="13.5" customHeight="1" spans="1:20">
      <c r="A32" s="144"/>
      <c r="B32" s="156"/>
      <c r="C32" s="157"/>
      <c r="D32" s="160" t="s">
        <v>244</v>
      </c>
      <c r="E32" s="152"/>
      <c r="F32" s="159"/>
      <c r="G32" s="159"/>
      <c r="H32" s="159"/>
      <c r="I32" s="159"/>
      <c r="J32" s="159"/>
      <c r="K32" s="159"/>
      <c r="L32" s="159"/>
      <c r="M32" s="159" t="s">
        <v>231</v>
      </c>
      <c r="N32" s="159"/>
      <c r="O32" s="159"/>
      <c r="P32" s="159"/>
      <c r="Q32" s="159"/>
      <c r="R32" s="159"/>
      <c r="S32" s="159"/>
      <c r="T32" s="216"/>
    </row>
    <row r="33" ht="13.5" customHeight="1" spans="1:20">
      <c r="A33" s="144"/>
      <c r="B33" s="161"/>
      <c r="C33" s="162"/>
      <c r="D33" s="163" t="s">
        <v>244</v>
      </c>
      <c r="E33" s="164"/>
      <c r="F33" s="165"/>
      <c r="G33" s="165"/>
      <c r="H33" s="165"/>
      <c r="I33" s="165"/>
      <c r="J33" s="165"/>
      <c r="K33" s="165"/>
      <c r="L33" s="165"/>
      <c r="M33" s="165"/>
      <c r="N33" s="165" t="s">
        <v>231</v>
      </c>
      <c r="O33" s="165"/>
      <c r="P33" s="165"/>
      <c r="Q33" s="165"/>
      <c r="R33" s="165"/>
      <c r="S33" s="165"/>
      <c r="T33" s="217"/>
    </row>
    <row r="34" ht="13.5" customHeight="1" spans="1:20">
      <c r="A34" s="166" t="s">
        <v>245</v>
      </c>
      <c r="B34" s="167" t="s">
        <v>246</v>
      </c>
      <c r="C34" s="168"/>
      <c r="D34" s="169"/>
      <c r="E34" s="170"/>
      <c r="F34" s="143"/>
      <c r="G34" s="143"/>
      <c r="H34" s="143"/>
      <c r="I34" s="143"/>
      <c r="J34" s="143"/>
      <c r="K34" s="143"/>
      <c r="L34" s="143"/>
      <c r="M34" s="143"/>
      <c r="N34" s="143"/>
      <c r="O34" s="143"/>
      <c r="P34" s="143"/>
      <c r="Q34" s="143"/>
      <c r="R34" s="143"/>
      <c r="S34" s="143"/>
      <c r="T34" s="213"/>
    </row>
    <row r="35" ht="13.5" customHeight="1" spans="1:20">
      <c r="A35" s="171"/>
      <c r="B35" s="172"/>
      <c r="C35" s="173"/>
      <c r="D35" s="174" t="s">
        <v>247</v>
      </c>
      <c r="E35" s="175"/>
      <c r="F35" s="148"/>
      <c r="G35" s="148"/>
      <c r="H35" s="148"/>
      <c r="I35" s="148"/>
      <c r="J35" s="148"/>
      <c r="K35" s="148"/>
      <c r="L35" s="148"/>
      <c r="M35" s="148" t="s">
        <v>231</v>
      </c>
      <c r="N35" s="148" t="s">
        <v>231</v>
      </c>
      <c r="O35" s="148"/>
      <c r="P35" s="148"/>
      <c r="Q35" s="148"/>
      <c r="R35" s="148"/>
      <c r="S35" s="148"/>
      <c r="T35" s="214"/>
    </row>
    <row r="36" ht="13.5" customHeight="1" spans="1:20">
      <c r="A36" s="171"/>
      <c r="B36" s="172"/>
      <c r="C36" s="176"/>
      <c r="D36" s="174" t="s">
        <v>248</v>
      </c>
      <c r="E36" s="177"/>
      <c r="F36" s="148" t="s">
        <v>231</v>
      </c>
      <c r="G36" s="148" t="s">
        <v>231</v>
      </c>
      <c r="H36" s="148" t="s">
        <v>231</v>
      </c>
      <c r="I36" s="148" t="s">
        <v>231</v>
      </c>
      <c r="J36" s="148" t="s">
        <v>231</v>
      </c>
      <c r="K36" s="148" t="s">
        <v>231</v>
      </c>
      <c r="L36" s="148"/>
      <c r="M36" s="148"/>
      <c r="N36" s="148"/>
      <c r="O36" s="148"/>
      <c r="P36" s="148"/>
      <c r="Q36" s="148"/>
      <c r="R36" s="148"/>
      <c r="S36" s="148"/>
      <c r="T36" s="214"/>
    </row>
    <row r="37" ht="13.5" customHeight="1" spans="1:20">
      <c r="A37" s="171"/>
      <c r="B37" s="172" t="s">
        <v>249</v>
      </c>
      <c r="C37" s="176"/>
      <c r="D37" s="174"/>
      <c r="E37" s="177"/>
      <c r="F37" s="148"/>
      <c r="G37" s="148"/>
      <c r="H37" s="148"/>
      <c r="I37" s="148"/>
      <c r="J37" s="148"/>
      <c r="K37" s="148"/>
      <c r="L37" s="148"/>
      <c r="M37" s="148"/>
      <c r="N37" s="148"/>
      <c r="O37" s="148"/>
      <c r="P37" s="148"/>
      <c r="Q37" s="148"/>
      <c r="R37" s="148"/>
      <c r="S37" s="148"/>
      <c r="T37" s="214"/>
    </row>
    <row r="38" ht="13.5" customHeight="1" spans="1:20">
      <c r="A38" s="171"/>
      <c r="B38" s="172"/>
      <c r="C38" s="176"/>
      <c r="D38" s="174"/>
      <c r="E38" s="177"/>
      <c r="F38" s="148"/>
      <c r="G38" s="148"/>
      <c r="H38" s="148"/>
      <c r="I38" s="148"/>
      <c r="J38" s="148"/>
      <c r="K38" s="148"/>
      <c r="L38" s="148"/>
      <c r="M38" s="148"/>
      <c r="N38" s="148"/>
      <c r="O38" s="148"/>
      <c r="P38" s="148"/>
      <c r="Q38" s="148"/>
      <c r="R38" s="148"/>
      <c r="S38" s="148"/>
      <c r="T38" s="214"/>
    </row>
    <row r="39" ht="13.5" customHeight="1" spans="1:20">
      <c r="A39" s="171"/>
      <c r="B39" s="172" t="s">
        <v>250</v>
      </c>
      <c r="C39" s="176"/>
      <c r="D39" s="174"/>
      <c r="E39" s="177"/>
      <c r="F39" s="148"/>
      <c r="G39" s="148"/>
      <c r="H39" s="148"/>
      <c r="I39" s="148"/>
      <c r="J39" s="148"/>
      <c r="K39" s="148"/>
      <c r="L39" s="148"/>
      <c r="M39" s="148"/>
      <c r="N39" s="148"/>
      <c r="O39" s="148"/>
      <c r="P39" s="148"/>
      <c r="Q39" s="148"/>
      <c r="R39" s="148"/>
      <c r="S39" s="148"/>
      <c r="T39" s="214"/>
    </row>
    <row r="40" ht="13.5" customHeight="1" spans="1:20">
      <c r="A40" s="171"/>
      <c r="B40" s="172"/>
      <c r="C40" s="176"/>
      <c r="D40" s="174" t="s">
        <v>247</v>
      </c>
      <c r="E40" s="177"/>
      <c r="F40" s="148"/>
      <c r="G40" s="148"/>
      <c r="H40" s="148"/>
      <c r="I40" s="148"/>
      <c r="J40" s="148"/>
      <c r="K40" s="148"/>
      <c r="L40" s="148"/>
      <c r="M40" s="148" t="s">
        <v>231</v>
      </c>
      <c r="N40" s="148" t="s">
        <v>231</v>
      </c>
      <c r="O40" s="148"/>
      <c r="P40" s="148"/>
      <c r="Q40" s="148"/>
      <c r="R40" s="148"/>
      <c r="S40" s="148"/>
      <c r="T40" s="214"/>
    </row>
    <row r="41" ht="13.5" customHeight="1" spans="1:20">
      <c r="A41" s="171"/>
      <c r="B41" s="178"/>
      <c r="C41" s="179"/>
      <c r="D41" s="180" t="s">
        <v>251</v>
      </c>
      <c r="E41" s="181"/>
      <c r="F41" s="159" t="s">
        <v>231</v>
      </c>
      <c r="G41" s="159"/>
      <c r="H41" s="159"/>
      <c r="I41" s="159"/>
      <c r="J41" s="159"/>
      <c r="K41" s="159"/>
      <c r="L41" s="159"/>
      <c r="M41" s="159"/>
      <c r="N41" s="159"/>
      <c r="O41" s="159"/>
      <c r="P41" s="159"/>
      <c r="Q41" s="159"/>
      <c r="R41" s="159"/>
      <c r="S41" s="159"/>
      <c r="T41" s="216"/>
    </row>
    <row r="42" ht="13.5" customHeight="1" spans="1:20">
      <c r="A42" s="171"/>
      <c r="B42" s="178"/>
      <c r="C42" s="179"/>
      <c r="D42" s="180" t="s">
        <v>252</v>
      </c>
      <c r="E42" s="181"/>
      <c r="F42" s="159"/>
      <c r="G42" s="159"/>
      <c r="H42" s="159"/>
      <c r="I42" s="159"/>
      <c r="J42" s="159" t="s">
        <v>231</v>
      </c>
      <c r="K42" s="159"/>
      <c r="L42" s="159"/>
      <c r="M42" s="159"/>
      <c r="N42" s="159"/>
      <c r="O42" s="159"/>
      <c r="P42" s="159"/>
      <c r="Q42" s="159"/>
      <c r="R42" s="159"/>
      <c r="S42" s="159"/>
      <c r="T42" s="216"/>
    </row>
    <row r="43" ht="13.5" customHeight="1" spans="1:20">
      <c r="A43" s="171"/>
      <c r="B43" s="178"/>
      <c r="C43" s="179"/>
      <c r="D43" s="180" t="s">
        <v>253</v>
      </c>
      <c r="E43" s="181"/>
      <c r="F43" s="159"/>
      <c r="G43" s="159" t="s">
        <v>231</v>
      </c>
      <c r="H43" s="159"/>
      <c r="I43" s="159"/>
      <c r="J43" s="159"/>
      <c r="K43" s="159"/>
      <c r="L43" s="159"/>
      <c r="M43" s="159"/>
      <c r="N43" s="159"/>
      <c r="O43" s="159"/>
      <c r="P43" s="159"/>
      <c r="Q43" s="159"/>
      <c r="R43" s="159"/>
      <c r="S43" s="159"/>
      <c r="T43" s="216"/>
    </row>
    <row r="44" ht="13.5" customHeight="1" spans="1:20">
      <c r="A44" s="171"/>
      <c r="B44" s="178"/>
      <c r="C44" s="182"/>
      <c r="D44" s="180" t="s">
        <v>254</v>
      </c>
      <c r="E44" s="183"/>
      <c r="F44" s="159"/>
      <c r="G44" s="159"/>
      <c r="H44" s="159" t="s">
        <v>231</v>
      </c>
      <c r="I44" s="159" t="s">
        <v>231</v>
      </c>
      <c r="J44" s="159"/>
      <c r="K44" s="159" t="s">
        <v>231</v>
      </c>
      <c r="L44" s="159" t="s">
        <v>231</v>
      </c>
      <c r="M44" s="159"/>
      <c r="N44" s="159"/>
      <c r="O44" s="159"/>
      <c r="P44" s="159"/>
      <c r="Q44" s="159"/>
      <c r="R44" s="159"/>
      <c r="S44" s="159"/>
      <c r="T44" s="216"/>
    </row>
    <row r="45" ht="13.5" customHeight="1" spans="1:20">
      <c r="A45" s="166" t="s">
        <v>255</v>
      </c>
      <c r="B45" s="184" t="s">
        <v>256</v>
      </c>
      <c r="C45" s="184"/>
      <c r="D45" s="184"/>
      <c r="E45" s="184"/>
      <c r="F45" s="185" t="s">
        <v>197</v>
      </c>
      <c r="G45" s="185" t="s">
        <v>197</v>
      </c>
      <c r="H45" s="185" t="s">
        <v>197</v>
      </c>
      <c r="I45" s="185" t="s">
        <v>197</v>
      </c>
      <c r="J45" s="185" t="s">
        <v>197</v>
      </c>
      <c r="K45" s="185" t="s">
        <v>197</v>
      </c>
      <c r="L45" s="185" t="s">
        <v>197</v>
      </c>
      <c r="M45" s="185" t="s">
        <v>197</v>
      </c>
      <c r="N45" s="185" t="s">
        <v>197</v>
      </c>
      <c r="O45" s="185"/>
      <c r="P45" s="185"/>
      <c r="Q45" s="185"/>
      <c r="R45" s="185"/>
      <c r="S45" s="185"/>
      <c r="T45" s="218"/>
    </row>
    <row r="46" ht="13.5" customHeight="1" spans="1:20">
      <c r="A46" s="171"/>
      <c r="B46" s="186" t="s">
        <v>257</v>
      </c>
      <c r="C46" s="186"/>
      <c r="D46" s="186"/>
      <c r="E46" s="187"/>
      <c r="F46" s="188" t="s">
        <v>258</v>
      </c>
      <c r="G46" s="188" t="s">
        <v>258</v>
      </c>
      <c r="H46" s="188" t="s">
        <v>258</v>
      </c>
      <c r="I46" s="188" t="s">
        <v>258</v>
      </c>
      <c r="J46" s="188" t="s">
        <v>258</v>
      </c>
      <c r="K46" s="188" t="s">
        <v>258</v>
      </c>
      <c r="L46" s="188" t="s">
        <v>258</v>
      </c>
      <c r="M46" s="188" t="s">
        <v>258</v>
      </c>
      <c r="N46" s="188" t="s">
        <v>258</v>
      </c>
      <c r="O46" s="188"/>
      <c r="P46" s="188"/>
      <c r="Q46" s="188"/>
      <c r="R46" s="188"/>
      <c r="S46" s="188"/>
      <c r="T46" s="219"/>
    </row>
    <row r="47" ht="13.5" customHeight="1" spans="1:20">
      <c r="A47" s="171"/>
      <c r="B47" s="189" t="s">
        <v>259</v>
      </c>
      <c r="C47" s="189"/>
      <c r="D47" s="189"/>
      <c r="E47" s="190"/>
      <c r="F47" s="191">
        <v>44165</v>
      </c>
      <c r="G47" s="191">
        <v>44165</v>
      </c>
      <c r="H47" s="191">
        <v>44165</v>
      </c>
      <c r="I47" s="191">
        <v>44165</v>
      </c>
      <c r="J47" s="191">
        <v>44165</v>
      </c>
      <c r="K47" s="191">
        <v>44165</v>
      </c>
      <c r="L47" s="191">
        <v>44165</v>
      </c>
      <c r="M47" s="191">
        <v>44165</v>
      </c>
      <c r="N47" s="191">
        <v>44165</v>
      </c>
      <c r="O47" s="191"/>
      <c r="P47" s="191"/>
      <c r="Q47" s="191"/>
      <c r="R47" s="191"/>
      <c r="S47" s="191"/>
      <c r="T47" s="220"/>
    </row>
    <row r="48" ht="13.95" spans="1:20">
      <c r="A48" s="192"/>
      <c r="B48" s="193" t="s">
        <v>260</v>
      </c>
      <c r="C48" s="193"/>
      <c r="D48" s="193"/>
      <c r="E48" s="194"/>
      <c r="F48" s="195"/>
      <c r="G48" s="195"/>
      <c r="H48" s="195"/>
      <c r="I48" s="195"/>
      <c r="J48" s="195"/>
      <c r="K48" s="195"/>
      <c r="L48" s="195"/>
      <c r="M48" s="195"/>
      <c r="N48" s="195"/>
      <c r="O48" s="195"/>
      <c r="P48" s="195"/>
      <c r="Q48" s="195"/>
      <c r="R48" s="195"/>
      <c r="S48" s="195"/>
      <c r="T48" s="221"/>
    </row>
    <row r="49" ht="13.95" spans="1:1">
      <c r="A49"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45:D45"/>
    <mergeCell ref="B46:D46"/>
    <mergeCell ref="B47:D47"/>
    <mergeCell ref="B48:D48"/>
  </mergeCells>
  <dataValidations count="3">
    <dataValidation type="list" allowBlank="1" showErrorMessage="1" sqref="F45:T45">
      <formula1>"N,A,B,"</formula1>
    </dataValidation>
    <dataValidation type="list" allowBlank="1" showErrorMessage="1" sqref="F46:T46">
      <formula1>"P,F,"</formula1>
    </dataValidation>
    <dataValidation type="list" allowBlank="1" showErrorMessage="1" sqref="F10:T44">
      <formula1>"O,"</formula1>
    </dataValidation>
  </dataValidations>
  <pageMargins left="0.7" right="0.7" top="0.75" bottom="0.75" header="0.3" footer="0.3"/>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5"/>
  <sheetViews>
    <sheetView workbookViewId="0">
      <selection activeCell="C25" sqref="C25"/>
    </sheetView>
  </sheetViews>
  <sheetFormatPr defaultColWidth="8.99074074074074" defaultRowHeight="13.2"/>
  <cols>
    <col min="1" max="1" width="8.10185185185185" style="114" customWidth="1"/>
    <col min="2" max="2" width="13.3333333333333" style="115" customWidth="1"/>
    <col min="3" max="3" width="35.3981481481481" style="114" customWidth="1"/>
    <col min="4" max="4" width="13.5555555555556" style="116" customWidth="1"/>
    <col min="5" max="5" width="1.10185185185185" style="114" hidden="1" customWidth="1"/>
    <col min="6" max="21" width="2.76851851851852" style="114" customWidth="1"/>
    <col min="22" max="257" width="8.99074074074074" style="114"/>
  </cols>
  <sheetData>
    <row r="1" ht="13.5" customHeight="1" spans="1:4">
      <c r="A1" s="117"/>
      <c r="B1" s="118"/>
      <c r="C1" s="119"/>
      <c r="D1" s="119"/>
    </row>
    <row r="2" ht="13.5" customHeight="1" spans="1:22">
      <c r="A2" s="120" t="s">
        <v>207</v>
      </c>
      <c r="B2" s="120"/>
      <c r="C2" s="121" t="s">
        <v>261</v>
      </c>
      <c r="D2" s="121"/>
      <c r="E2" s="121"/>
      <c r="F2" s="122" t="s">
        <v>119</v>
      </c>
      <c r="G2" s="122"/>
      <c r="H2" s="122"/>
      <c r="I2" s="122"/>
      <c r="J2" s="122"/>
      <c r="K2" s="122"/>
      <c r="L2" s="197" t="s">
        <v>132</v>
      </c>
      <c r="M2" s="197"/>
      <c r="N2" s="197"/>
      <c r="O2" s="197"/>
      <c r="P2" s="197"/>
      <c r="Q2" s="197"/>
      <c r="R2" s="197"/>
      <c r="S2" s="197"/>
      <c r="T2" s="197"/>
      <c r="V2" s="206"/>
    </row>
    <row r="3" ht="19" customHeight="1" spans="1:20">
      <c r="A3" s="123" t="s">
        <v>208</v>
      </c>
      <c r="B3" s="123"/>
      <c r="C3" s="124" t="s">
        <v>209</v>
      </c>
      <c r="D3" s="124"/>
      <c r="E3" s="124"/>
      <c r="F3" s="125" t="s">
        <v>210</v>
      </c>
      <c r="G3" s="125"/>
      <c r="H3" s="125"/>
      <c r="I3" s="125"/>
      <c r="J3" s="125"/>
      <c r="K3" s="125"/>
      <c r="L3" s="227" t="s">
        <v>135</v>
      </c>
      <c r="M3" s="227"/>
      <c r="N3" s="227"/>
      <c r="O3" s="199"/>
      <c r="P3" s="199"/>
      <c r="Q3" s="199"/>
      <c r="R3" s="199"/>
      <c r="S3" s="199"/>
      <c r="T3" s="207"/>
    </row>
    <row r="4" ht="9"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262</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130" t="s">
        <v>215</v>
      </c>
      <c r="M6" s="130"/>
      <c r="N6" s="130"/>
      <c r="O6" s="202" t="s">
        <v>199</v>
      </c>
      <c r="P6" s="202"/>
      <c r="Q6" s="202"/>
      <c r="R6" s="202"/>
      <c r="S6" s="202"/>
      <c r="T6" s="202"/>
      <c r="V6" s="206"/>
    </row>
    <row r="7" ht="13.5" customHeight="1" spans="1:21">
      <c r="A7" s="131">
        <f>COUNTIF(F32:HQ32,"P")</f>
        <v>1</v>
      </c>
      <c r="B7" s="131"/>
      <c r="C7" s="132">
        <f>COUNTIF(F32:HQ32,"F")</f>
        <v>6</v>
      </c>
      <c r="D7" s="132"/>
      <c r="E7" s="132"/>
      <c r="F7" s="132">
        <f>SUM(O7,-A7,-C7)</f>
        <v>0</v>
      </c>
      <c r="G7" s="132"/>
      <c r="H7" s="132"/>
      <c r="I7" s="132"/>
      <c r="J7" s="132"/>
      <c r="K7" s="132"/>
      <c r="L7" s="203">
        <f>COUNTIF(E31:HQ31,"N")</f>
        <v>7</v>
      </c>
      <c r="M7" s="203">
        <f>COUNTIF(E31:HQ31,"A")</f>
        <v>0</v>
      </c>
      <c r="N7" s="203">
        <f>COUNTIF(E31:HQ31,"B")</f>
        <v>0</v>
      </c>
      <c r="O7" s="204">
        <f>COUNTA(E9:HT9)</f>
        <v>7</v>
      </c>
      <c r="P7" s="204"/>
      <c r="Q7" s="204"/>
      <c r="R7" s="204"/>
      <c r="S7" s="204"/>
      <c r="T7" s="204"/>
      <c r="U7" s="208"/>
    </row>
    <row r="8" ht="13.95"/>
    <row r="9" ht="46.5" customHeight="1" spans="1:23">
      <c r="A9" s="133"/>
      <c r="B9" s="134"/>
      <c r="C9" s="135"/>
      <c r="D9" s="136"/>
      <c r="E9" s="135"/>
      <c r="F9" s="137" t="s">
        <v>216</v>
      </c>
      <c r="G9" s="137" t="s">
        <v>217</v>
      </c>
      <c r="H9" s="137" t="s">
        <v>218</v>
      </c>
      <c r="I9" s="137" t="s">
        <v>219</v>
      </c>
      <c r="J9" s="137" t="s">
        <v>220</v>
      </c>
      <c r="K9" s="137" t="s">
        <v>221</v>
      </c>
      <c r="L9" s="137" t="s">
        <v>222</v>
      </c>
      <c r="M9" s="137"/>
      <c r="N9" s="137"/>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t="s">
        <v>229</v>
      </c>
      <c r="D13" s="147"/>
      <c r="E13" s="150"/>
      <c r="F13" s="148"/>
      <c r="G13" s="148"/>
      <c r="H13" s="148"/>
      <c r="I13" s="148"/>
      <c r="J13" s="148"/>
      <c r="K13" s="148"/>
      <c r="L13" s="148"/>
      <c r="M13" s="148"/>
      <c r="N13" s="148"/>
      <c r="O13" s="148"/>
      <c r="P13" s="148"/>
      <c r="Q13" s="148"/>
      <c r="R13" s="148"/>
      <c r="S13" s="148"/>
      <c r="T13" s="214"/>
    </row>
    <row r="14" ht="13.5" customHeight="1" spans="1:20">
      <c r="A14" s="144"/>
      <c r="B14" s="145"/>
      <c r="C14" s="146"/>
      <c r="D14" s="147" t="s">
        <v>230</v>
      </c>
      <c r="E14" s="152"/>
      <c r="F14" s="148" t="s">
        <v>231</v>
      </c>
      <c r="G14" s="148"/>
      <c r="H14" s="148"/>
      <c r="I14" s="148"/>
      <c r="J14" s="148"/>
      <c r="K14" s="148"/>
      <c r="L14" s="148"/>
      <c r="M14" s="148"/>
      <c r="N14" s="148"/>
      <c r="O14" s="148"/>
      <c r="P14" s="148"/>
      <c r="Q14" s="148"/>
      <c r="R14" s="148"/>
      <c r="S14" s="148"/>
      <c r="T14" s="214"/>
    </row>
    <row r="15" ht="13.5" customHeight="1" spans="1:20">
      <c r="A15" s="144"/>
      <c r="B15" s="145"/>
      <c r="C15" s="146"/>
      <c r="D15" s="153" t="s">
        <v>263</v>
      </c>
      <c r="E15" s="152"/>
      <c r="F15" s="148"/>
      <c r="G15" s="148" t="s">
        <v>231</v>
      </c>
      <c r="H15" s="148"/>
      <c r="I15" s="148"/>
      <c r="J15" s="148"/>
      <c r="K15" s="148"/>
      <c r="L15" s="148"/>
      <c r="M15" s="148"/>
      <c r="N15" s="148"/>
      <c r="O15" s="148"/>
      <c r="P15" s="148"/>
      <c r="Q15" s="148"/>
      <c r="R15" s="148"/>
      <c r="S15" s="148"/>
      <c r="T15" s="214"/>
    </row>
    <row r="16" ht="13.5" customHeight="1" spans="1:20">
      <c r="A16" s="144"/>
      <c r="B16" s="145"/>
      <c r="C16" s="146"/>
      <c r="D16" s="153" t="s">
        <v>264</v>
      </c>
      <c r="E16" s="152"/>
      <c r="F16" s="148"/>
      <c r="G16" s="148"/>
      <c r="H16" s="148" t="s">
        <v>231</v>
      </c>
      <c r="I16" s="148"/>
      <c r="J16" s="148"/>
      <c r="K16" s="148"/>
      <c r="L16" s="148"/>
      <c r="M16" s="148"/>
      <c r="N16" s="148"/>
      <c r="O16" s="148"/>
      <c r="P16" s="148"/>
      <c r="Q16" s="148"/>
      <c r="R16" s="148"/>
      <c r="S16" s="148"/>
      <c r="T16" s="214"/>
    </row>
    <row r="17" ht="13.5" customHeight="1" spans="1:20">
      <c r="A17" s="144"/>
      <c r="B17" s="145"/>
      <c r="C17" s="146"/>
      <c r="D17" s="153" t="s">
        <v>265</v>
      </c>
      <c r="E17" s="152"/>
      <c r="F17" s="148"/>
      <c r="G17" s="148"/>
      <c r="H17" s="148"/>
      <c r="I17" s="148" t="s">
        <v>231</v>
      </c>
      <c r="J17" s="148"/>
      <c r="K17" s="148"/>
      <c r="L17" s="148"/>
      <c r="M17" s="148"/>
      <c r="N17" s="148"/>
      <c r="O17" s="148"/>
      <c r="P17" s="148"/>
      <c r="Q17" s="148"/>
      <c r="R17" s="148"/>
      <c r="S17" s="148"/>
      <c r="T17" s="214"/>
    </row>
    <row r="18" ht="13.5" customHeight="1" spans="1:20">
      <c r="A18" s="144"/>
      <c r="B18" s="145"/>
      <c r="C18" s="146"/>
      <c r="D18" s="153" t="s">
        <v>266</v>
      </c>
      <c r="E18" s="152"/>
      <c r="F18" s="148"/>
      <c r="G18" s="148"/>
      <c r="H18" s="148"/>
      <c r="I18" s="148"/>
      <c r="J18" s="148" t="s">
        <v>231</v>
      </c>
      <c r="K18" s="148"/>
      <c r="L18" s="148"/>
      <c r="M18" s="148"/>
      <c r="N18" s="148"/>
      <c r="O18" s="148"/>
      <c r="P18" s="148"/>
      <c r="Q18" s="148"/>
      <c r="R18" s="148"/>
      <c r="S18" s="148"/>
      <c r="T18" s="214"/>
    </row>
    <row r="19" ht="13.5" customHeight="1" spans="1:20">
      <c r="A19" s="144"/>
      <c r="B19" s="145"/>
      <c r="C19" s="146"/>
      <c r="D19" s="154" t="s">
        <v>239</v>
      </c>
      <c r="E19" s="152"/>
      <c r="F19" s="148"/>
      <c r="G19" s="148"/>
      <c r="H19" s="148"/>
      <c r="I19" s="148"/>
      <c r="J19" s="148"/>
      <c r="K19" s="148" t="s">
        <v>231</v>
      </c>
      <c r="L19" s="148"/>
      <c r="M19" s="148"/>
      <c r="N19" s="148"/>
      <c r="O19" s="148"/>
      <c r="P19" s="148"/>
      <c r="Q19" s="148"/>
      <c r="R19" s="148"/>
      <c r="S19" s="148"/>
      <c r="T19" s="214"/>
    </row>
    <row r="20" ht="13.5" customHeight="1" spans="1:20">
      <c r="A20" s="144"/>
      <c r="B20" s="156"/>
      <c r="C20" s="157"/>
      <c r="D20" s="160" t="s">
        <v>267</v>
      </c>
      <c r="E20" s="152"/>
      <c r="F20" s="159"/>
      <c r="G20" s="159"/>
      <c r="H20" s="159"/>
      <c r="I20" s="159"/>
      <c r="J20" s="159"/>
      <c r="K20" s="159"/>
      <c r="L20" s="159" t="s">
        <v>231</v>
      </c>
      <c r="M20" s="159"/>
      <c r="N20" s="159"/>
      <c r="O20" s="159"/>
      <c r="P20" s="159"/>
      <c r="Q20" s="159"/>
      <c r="R20" s="159"/>
      <c r="S20" s="159"/>
      <c r="T20" s="216"/>
    </row>
    <row r="21" ht="13.5" customHeight="1" spans="1:20">
      <c r="A21" s="144"/>
      <c r="B21" s="161"/>
      <c r="C21" s="162"/>
      <c r="D21" s="163"/>
      <c r="E21" s="164"/>
      <c r="F21" s="165"/>
      <c r="G21" s="165"/>
      <c r="H21" s="165"/>
      <c r="I21" s="165"/>
      <c r="J21" s="165"/>
      <c r="K21" s="165"/>
      <c r="L21" s="165"/>
      <c r="M21" s="165"/>
      <c r="N21" s="165"/>
      <c r="O21" s="165"/>
      <c r="P21" s="165"/>
      <c r="Q21" s="165"/>
      <c r="R21" s="165"/>
      <c r="S21" s="165"/>
      <c r="T21" s="217"/>
    </row>
    <row r="22" ht="13.5" customHeight="1" spans="1:20">
      <c r="A22" s="166" t="s">
        <v>245</v>
      </c>
      <c r="B22" s="167" t="s">
        <v>246</v>
      </c>
      <c r="C22" s="168"/>
      <c r="D22" s="169"/>
      <c r="E22" s="170"/>
      <c r="F22" s="143"/>
      <c r="G22" s="143"/>
      <c r="H22" s="143"/>
      <c r="I22" s="143"/>
      <c r="J22" s="143"/>
      <c r="K22" s="143"/>
      <c r="L22" s="143"/>
      <c r="M22" s="143"/>
      <c r="N22" s="143"/>
      <c r="O22" s="143"/>
      <c r="P22" s="143"/>
      <c r="Q22" s="143"/>
      <c r="R22" s="143"/>
      <c r="S22" s="143"/>
      <c r="T22" s="213"/>
    </row>
    <row r="23" ht="13.5" customHeight="1" spans="1:20">
      <c r="A23" s="171"/>
      <c r="B23" s="172"/>
      <c r="C23" s="173"/>
      <c r="D23" s="174" t="s">
        <v>268</v>
      </c>
      <c r="E23" s="175"/>
      <c r="F23" s="148"/>
      <c r="G23" s="148"/>
      <c r="H23" s="148"/>
      <c r="I23" s="148"/>
      <c r="J23" s="148"/>
      <c r="K23" s="148"/>
      <c r="L23" s="148" t="s">
        <v>231</v>
      </c>
      <c r="M23" s="148"/>
      <c r="N23" s="148"/>
      <c r="O23" s="148"/>
      <c r="P23" s="148"/>
      <c r="Q23" s="148"/>
      <c r="R23" s="148"/>
      <c r="S23" s="148"/>
      <c r="T23" s="214"/>
    </row>
    <row r="24" ht="13.5" customHeight="1" spans="1:20">
      <c r="A24" s="171"/>
      <c r="B24" s="172"/>
      <c r="C24" s="176"/>
      <c r="D24" s="174" t="s">
        <v>269</v>
      </c>
      <c r="E24" s="177"/>
      <c r="F24" s="148" t="s">
        <v>231</v>
      </c>
      <c r="G24" s="148" t="s">
        <v>231</v>
      </c>
      <c r="H24" s="148" t="s">
        <v>231</v>
      </c>
      <c r="I24" s="148" t="s">
        <v>231</v>
      </c>
      <c r="J24" s="148" t="s">
        <v>231</v>
      </c>
      <c r="K24" s="148" t="s">
        <v>231</v>
      </c>
      <c r="L24" s="148"/>
      <c r="M24" s="148"/>
      <c r="N24" s="148"/>
      <c r="O24" s="148"/>
      <c r="P24" s="148"/>
      <c r="Q24" s="148"/>
      <c r="R24" s="148"/>
      <c r="S24" s="148"/>
      <c r="T24" s="214"/>
    </row>
    <row r="25" ht="13.5" customHeight="1" spans="1:20">
      <c r="A25" s="171"/>
      <c r="B25" s="172" t="s">
        <v>249</v>
      </c>
      <c r="C25" s="176"/>
      <c r="D25" s="174"/>
      <c r="E25" s="177"/>
      <c r="F25" s="148"/>
      <c r="G25" s="148"/>
      <c r="H25" s="148"/>
      <c r="I25" s="148"/>
      <c r="J25" s="148"/>
      <c r="K25" s="148"/>
      <c r="L25" s="148"/>
      <c r="M25" s="148"/>
      <c r="N25" s="148"/>
      <c r="O25" s="148"/>
      <c r="P25" s="148"/>
      <c r="Q25" s="148"/>
      <c r="R25" s="148"/>
      <c r="S25" s="148"/>
      <c r="T25" s="214"/>
    </row>
    <row r="26" ht="13.5" customHeight="1" spans="1:20">
      <c r="A26" s="171"/>
      <c r="B26" s="172"/>
      <c r="C26" s="176"/>
      <c r="D26" s="174"/>
      <c r="E26" s="177"/>
      <c r="F26" s="148"/>
      <c r="G26" s="148"/>
      <c r="H26" s="148"/>
      <c r="I26" s="148"/>
      <c r="J26" s="148"/>
      <c r="K26" s="148"/>
      <c r="L26" s="148"/>
      <c r="M26" s="148"/>
      <c r="N26" s="148"/>
      <c r="O26" s="148"/>
      <c r="P26" s="148"/>
      <c r="Q26" s="148"/>
      <c r="R26" s="148"/>
      <c r="S26" s="148"/>
      <c r="T26" s="214"/>
    </row>
    <row r="27" ht="13.5" customHeight="1" spans="1:20">
      <c r="A27" s="171"/>
      <c r="B27" s="172" t="s">
        <v>250</v>
      </c>
      <c r="C27" s="176"/>
      <c r="D27" s="174"/>
      <c r="E27" s="177"/>
      <c r="F27" s="148"/>
      <c r="G27" s="148"/>
      <c r="H27" s="148"/>
      <c r="I27" s="148"/>
      <c r="J27" s="148"/>
      <c r="K27" s="148"/>
      <c r="L27" s="148"/>
      <c r="M27" s="148"/>
      <c r="N27" s="148"/>
      <c r="O27" s="148"/>
      <c r="P27" s="148"/>
      <c r="Q27" s="148"/>
      <c r="R27" s="148"/>
      <c r="S27" s="148"/>
      <c r="T27" s="214"/>
    </row>
    <row r="28" ht="13.5" customHeight="1" spans="1:20">
      <c r="A28" s="171"/>
      <c r="B28" s="172"/>
      <c r="C28" s="176"/>
      <c r="D28" s="174"/>
      <c r="E28" s="177"/>
      <c r="F28" s="148"/>
      <c r="G28" s="148"/>
      <c r="H28" s="148"/>
      <c r="I28" s="148"/>
      <c r="J28" s="148"/>
      <c r="K28" s="148"/>
      <c r="L28" s="148"/>
      <c r="M28" s="148"/>
      <c r="N28" s="148"/>
      <c r="O28" s="148"/>
      <c r="P28" s="148"/>
      <c r="Q28" s="148"/>
      <c r="R28" s="148"/>
      <c r="S28" s="148"/>
      <c r="T28" s="214"/>
    </row>
    <row r="29" ht="13.5" customHeight="1" spans="1:20">
      <c r="A29" s="171"/>
      <c r="B29" s="178"/>
      <c r="C29" s="179"/>
      <c r="D29" s="180" t="s">
        <v>270</v>
      </c>
      <c r="E29" s="181"/>
      <c r="F29" s="159" t="s">
        <v>231</v>
      </c>
      <c r="G29" s="159" t="s">
        <v>231</v>
      </c>
      <c r="H29" s="159" t="s">
        <v>231</v>
      </c>
      <c r="I29" s="159" t="s">
        <v>231</v>
      </c>
      <c r="J29" s="159" t="s">
        <v>231</v>
      </c>
      <c r="K29" s="159" t="s">
        <v>231</v>
      </c>
      <c r="L29" s="159" t="s">
        <v>231</v>
      </c>
      <c r="M29" s="159"/>
      <c r="N29" s="159"/>
      <c r="O29" s="159"/>
      <c r="P29" s="159"/>
      <c r="Q29" s="159"/>
      <c r="R29" s="159"/>
      <c r="S29" s="159"/>
      <c r="T29" s="216"/>
    </row>
    <row r="30" ht="13.5" customHeight="1" spans="1:20">
      <c r="A30" s="171"/>
      <c r="B30" s="178"/>
      <c r="C30" s="182"/>
      <c r="D30" s="180" t="s">
        <v>269</v>
      </c>
      <c r="E30" s="183"/>
      <c r="F30" s="159"/>
      <c r="G30" s="159"/>
      <c r="H30" s="159"/>
      <c r="I30" s="159"/>
      <c r="J30" s="159"/>
      <c r="K30" s="159"/>
      <c r="L30" s="159"/>
      <c r="M30" s="159"/>
      <c r="N30" s="159"/>
      <c r="O30" s="159"/>
      <c r="P30" s="159"/>
      <c r="Q30" s="159"/>
      <c r="R30" s="159"/>
      <c r="S30" s="159"/>
      <c r="T30" s="216"/>
    </row>
    <row r="31" ht="13.5" customHeight="1" spans="1:20">
      <c r="A31" s="166" t="s">
        <v>255</v>
      </c>
      <c r="B31" s="184" t="s">
        <v>256</v>
      </c>
      <c r="C31" s="184"/>
      <c r="D31" s="184"/>
      <c r="E31" s="184"/>
      <c r="F31" s="185" t="s">
        <v>197</v>
      </c>
      <c r="G31" s="185" t="s">
        <v>197</v>
      </c>
      <c r="H31" s="185" t="s">
        <v>197</v>
      </c>
      <c r="I31" s="185" t="s">
        <v>197</v>
      </c>
      <c r="J31" s="185" t="s">
        <v>197</v>
      </c>
      <c r="K31" s="185" t="s">
        <v>197</v>
      </c>
      <c r="L31" s="185" t="s">
        <v>197</v>
      </c>
      <c r="M31" s="185"/>
      <c r="N31" s="185"/>
      <c r="O31" s="185"/>
      <c r="P31" s="185"/>
      <c r="Q31" s="185"/>
      <c r="R31" s="185"/>
      <c r="S31" s="185"/>
      <c r="T31" s="218"/>
    </row>
    <row r="32" ht="13.5" customHeight="1" spans="1:20">
      <c r="A32" s="171"/>
      <c r="B32" s="186" t="s">
        <v>257</v>
      </c>
      <c r="C32" s="186"/>
      <c r="D32" s="186"/>
      <c r="E32" s="187"/>
      <c r="F32" s="188" t="s">
        <v>271</v>
      </c>
      <c r="G32" s="188" t="s">
        <v>271</v>
      </c>
      <c r="H32" s="188" t="s">
        <v>271</v>
      </c>
      <c r="I32" s="188" t="s">
        <v>271</v>
      </c>
      <c r="J32" s="188" t="s">
        <v>271</v>
      </c>
      <c r="K32" s="188" t="s">
        <v>271</v>
      </c>
      <c r="L32" s="188" t="s">
        <v>258</v>
      </c>
      <c r="M32" s="188"/>
      <c r="N32" s="188"/>
      <c r="O32" s="188"/>
      <c r="P32" s="188"/>
      <c r="Q32" s="188"/>
      <c r="R32" s="188"/>
      <c r="S32" s="188"/>
      <c r="T32" s="219"/>
    </row>
    <row r="33" ht="13.5" customHeight="1" spans="1:20">
      <c r="A33" s="171"/>
      <c r="B33" s="189" t="s">
        <v>259</v>
      </c>
      <c r="C33" s="189"/>
      <c r="D33" s="189"/>
      <c r="E33" s="190"/>
      <c r="F33" s="191">
        <v>44165</v>
      </c>
      <c r="G33" s="191">
        <v>44165</v>
      </c>
      <c r="H33" s="191">
        <v>44165</v>
      </c>
      <c r="I33" s="191">
        <v>44165</v>
      </c>
      <c r="J33" s="191">
        <v>44165</v>
      </c>
      <c r="K33" s="191">
        <v>44165</v>
      </c>
      <c r="L33" s="191">
        <v>44165</v>
      </c>
      <c r="M33" s="191"/>
      <c r="N33" s="191"/>
      <c r="O33" s="191"/>
      <c r="P33" s="191"/>
      <c r="Q33" s="191"/>
      <c r="R33" s="191"/>
      <c r="S33" s="191"/>
      <c r="T33" s="220"/>
    </row>
    <row r="34" ht="13.95" spans="1:20">
      <c r="A34" s="192"/>
      <c r="B34" s="193" t="s">
        <v>260</v>
      </c>
      <c r="C34" s="193"/>
      <c r="D34" s="193"/>
      <c r="E34" s="194"/>
      <c r="F34" s="195"/>
      <c r="G34" s="195"/>
      <c r="H34" s="195"/>
      <c r="I34" s="195"/>
      <c r="J34" s="195"/>
      <c r="K34" s="195"/>
      <c r="L34" s="195"/>
      <c r="M34" s="195"/>
      <c r="N34" s="195"/>
      <c r="O34" s="195"/>
      <c r="P34" s="195"/>
      <c r="Q34" s="195"/>
      <c r="R34" s="195"/>
      <c r="S34" s="195"/>
      <c r="T34" s="221"/>
    </row>
    <row r="35" ht="13.95" spans="1:1">
      <c r="A35"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31:D31"/>
    <mergeCell ref="B32:D32"/>
    <mergeCell ref="B33:D33"/>
    <mergeCell ref="B34:D34"/>
  </mergeCells>
  <dataValidations count="3">
    <dataValidation type="list" allowBlank="1" showErrorMessage="1" sqref="F31:T31">
      <formula1>"N,A,B,"</formula1>
    </dataValidation>
    <dataValidation type="list" allowBlank="1" showErrorMessage="1" sqref="F32:T32">
      <formula1>"P,F,"</formula1>
    </dataValidation>
    <dataValidation type="list" allowBlank="1" showErrorMessage="1" sqref="F10:T30">
      <formula1>"O,"</formula1>
    </dataValidation>
  </dataValidations>
  <pageMargins left="0.7" right="0.7" top="0.75" bottom="0.75" header="0.3" footer="0.3"/>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1"/>
  <sheetViews>
    <sheetView workbookViewId="0">
      <selection activeCell="D16" sqref="D16"/>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38.1018518518519" style="116" customWidth="1"/>
    <col min="5" max="5" width="1.10185185185185" style="114" hidden="1" customWidth="1"/>
    <col min="6" max="21" width="2.76851851851852" style="114" customWidth="1"/>
    <col min="22" max="257" width="8.99074074074074" style="114"/>
  </cols>
  <sheetData>
    <row r="1" ht="13.5" customHeight="1" spans="1:2">
      <c r="A1" s="117"/>
      <c r="B1" s="118"/>
    </row>
    <row r="2" ht="13.5" customHeight="1" spans="1:22">
      <c r="A2" s="120" t="s">
        <v>207</v>
      </c>
      <c r="B2" s="120"/>
      <c r="C2" s="121" t="s">
        <v>272</v>
      </c>
      <c r="D2" s="121"/>
      <c r="E2" s="121"/>
      <c r="F2" s="122" t="s">
        <v>119</v>
      </c>
      <c r="G2" s="122"/>
      <c r="H2" s="122"/>
      <c r="I2" s="122"/>
      <c r="J2" s="122"/>
      <c r="K2" s="122"/>
      <c r="L2" s="197" t="s">
        <v>138</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227" t="s">
        <v>135</v>
      </c>
      <c r="M3" s="227"/>
      <c r="N3" s="227"/>
      <c r="O3" s="199"/>
      <c r="P3" s="199"/>
      <c r="Q3" s="199"/>
      <c r="R3" s="199"/>
      <c r="S3" s="199"/>
      <c r="T3" s="207"/>
    </row>
    <row r="4" ht="9"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273</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130" t="s">
        <v>215</v>
      </c>
      <c r="M6" s="130"/>
      <c r="N6" s="130"/>
      <c r="O6" s="202" t="s">
        <v>199</v>
      </c>
      <c r="P6" s="202"/>
      <c r="Q6" s="202"/>
      <c r="R6" s="202"/>
      <c r="S6" s="202"/>
      <c r="T6" s="202"/>
      <c r="V6" s="206"/>
    </row>
    <row r="7" ht="13.5" customHeight="1" spans="1:21">
      <c r="A7" s="131">
        <f>COUNTIF(F28:HQ28,"P")</f>
        <v>1</v>
      </c>
      <c r="B7" s="131"/>
      <c r="C7" s="132">
        <f>COUNTIF(F28:HQ28,"F")</f>
        <v>2</v>
      </c>
      <c r="D7" s="132"/>
      <c r="E7" s="132"/>
      <c r="F7" s="132">
        <f>SUM(O7,-A7,-C7)</f>
        <v>0</v>
      </c>
      <c r="G7" s="132"/>
      <c r="H7" s="132"/>
      <c r="I7" s="132"/>
      <c r="J7" s="132"/>
      <c r="K7" s="132"/>
      <c r="L7" s="203">
        <f>COUNTIF(E27:HQ27,"N")</f>
        <v>3</v>
      </c>
      <c r="M7" s="203">
        <f>COUNTIF(E27:HQ27,"A")</f>
        <v>0</v>
      </c>
      <c r="N7" s="203">
        <f>COUNTIF(E27:HQ27,"B")</f>
        <v>0</v>
      </c>
      <c r="O7" s="204">
        <f>COUNTA(E9:HT9)</f>
        <v>3</v>
      </c>
      <c r="P7" s="204"/>
      <c r="Q7" s="204"/>
      <c r="R7" s="204"/>
      <c r="S7" s="204"/>
      <c r="T7" s="204"/>
      <c r="U7" s="208"/>
    </row>
    <row r="8" ht="13.95"/>
    <row r="9" ht="46.5" customHeight="1" spans="1:23">
      <c r="A9" s="133"/>
      <c r="B9" s="134"/>
      <c r="C9" s="135"/>
      <c r="D9" s="136"/>
      <c r="E9" s="135"/>
      <c r="F9" s="137" t="s">
        <v>216</v>
      </c>
      <c r="G9" s="137" t="s">
        <v>217</v>
      </c>
      <c r="H9" s="137" t="s">
        <v>218</v>
      </c>
      <c r="I9" s="137"/>
      <c r="J9" s="137"/>
      <c r="K9" s="137"/>
      <c r="L9" s="137"/>
      <c r="M9" s="137"/>
      <c r="N9" s="137"/>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t="s">
        <v>274</v>
      </c>
      <c r="D13" s="147"/>
      <c r="E13" s="150"/>
      <c r="F13" s="148"/>
      <c r="G13" s="148"/>
      <c r="H13" s="148"/>
      <c r="I13" s="148"/>
      <c r="J13" s="148"/>
      <c r="K13" s="148"/>
      <c r="L13" s="148"/>
      <c r="M13" s="148"/>
      <c r="N13" s="148"/>
      <c r="O13" s="148"/>
      <c r="P13" s="148"/>
      <c r="Q13" s="148"/>
      <c r="R13" s="148"/>
      <c r="S13" s="148"/>
      <c r="T13" s="214"/>
    </row>
    <row r="14" ht="13.5" customHeight="1" spans="1:20">
      <c r="A14" s="144"/>
      <c r="B14" s="145"/>
      <c r="C14" s="146"/>
      <c r="D14" s="147" t="b">
        <f>TRUE()</f>
        <v>1</v>
      </c>
      <c r="E14" s="152"/>
      <c r="F14" s="148" t="s">
        <v>231</v>
      </c>
      <c r="G14" s="148"/>
      <c r="H14" s="148"/>
      <c r="I14" s="148"/>
      <c r="J14" s="148"/>
      <c r="K14" s="148"/>
      <c r="L14" s="148"/>
      <c r="M14" s="148"/>
      <c r="N14" s="148"/>
      <c r="O14" s="148"/>
      <c r="P14" s="148"/>
      <c r="Q14" s="148"/>
      <c r="R14" s="148"/>
      <c r="S14" s="148"/>
      <c r="T14" s="214"/>
    </row>
    <row r="15" ht="13.5" customHeight="1" spans="1:20">
      <c r="A15" s="144"/>
      <c r="B15" s="145"/>
      <c r="C15" s="146"/>
      <c r="D15" s="153" t="s">
        <v>275</v>
      </c>
      <c r="E15" s="152"/>
      <c r="F15" s="148"/>
      <c r="G15" s="148" t="s">
        <v>231</v>
      </c>
      <c r="H15" s="148"/>
      <c r="I15" s="148"/>
      <c r="J15" s="148"/>
      <c r="K15" s="148"/>
      <c r="L15" s="148"/>
      <c r="M15" s="148"/>
      <c r="N15" s="148"/>
      <c r="O15" s="148"/>
      <c r="P15" s="148"/>
      <c r="Q15" s="148"/>
      <c r="R15" s="148"/>
      <c r="S15" s="148"/>
      <c r="T15" s="214"/>
    </row>
    <row r="16" ht="13.5" customHeight="1" spans="1:20">
      <c r="A16" s="144"/>
      <c r="B16" s="145"/>
      <c r="C16" s="146"/>
      <c r="D16" s="153" t="s">
        <v>275</v>
      </c>
      <c r="E16" s="152"/>
      <c r="F16" s="148"/>
      <c r="G16" s="148"/>
      <c r="H16" s="148" t="s">
        <v>231</v>
      </c>
      <c r="I16" s="148"/>
      <c r="J16" s="148"/>
      <c r="K16" s="148"/>
      <c r="L16" s="148"/>
      <c r="M16" s="148"/>
      <c r="N16" s="148"/>
      <c r="O16" s="148"/>
      <c r="P16" s="148"/>
      <c r="Q16" s="148"/>
      <c r="R16" s="148"/>
      <c r="S16" s="148"/>
      <c r="T16" s="214"/>
    </row>
    <row r="17" ht="13.5" customHeight="1" spans="1:20">
      <c r="A17" s="144"/>
      <c r="B17" s="161"/>
      <c r="C17" s="162"/>
      <c r="D17" s="163"/>
      <c r="E17" s="164"/>
      <c r="F17" s="165"/>
      <c r="G17" s="165"/>
      <c r="H17" s="165"/>
      <c r="I17" s="165"/>
      <c r="J17" s="165"/>
      <c r="K17" s="165"/>
      <c r="L17" s="165"/>
      <c r="M17" s="165"/>
      <c r="N17" s="165"/>
      <c r="O17" s="165"/>
      <c r="P17" s="165"/>
      <c r="Q17" s="165"/>
      <c r="R17" s="165"/>
      <c r="S17" s="165"/>
      <c r="T17" s="217"/>
    </row>
    <row r="18" ht="13.5" customHeight="1" spans="1:20">
      <c r="A18" s="166" t="s">
        <v>245</v>
      </c>
      <c r="B18" s="167" t="s">
        <v>246</v>
      </c>
      <c r="C18" s="168"/>
      <c r="D18" s="169"/>
      <c r="E18" s="170"/>
      <c r="F18" s="143"/>
      <c r="G18" s="143"/>
      <c r="H18" s="143"/>
      <c r="I18" s="143"/>
      <c r="J18" s="143"/>
      <c r="K18" s="143"/>
      <c r="L18" s="143"/>
      <c r="M18" s="143"/>
      <c r="N18" s="143"/>
      <c r="O18" s="143"/>
      <c r="P18" s="143"/>
      <c r="Q18" s="143"/>
      <c r="R18" s="143"/>
      <c r="S18" s="143"/>
      <c r="T18" s="213"/>
    </row>
    <row r="19" ht="13.5" customHeight="1" spans="1:20">
      <c r="A19" s="171"/>
      <c r="B19" s="172"/>
      <c r="C19" s="173"/>
      <c r="D19" s="174" t="s">
        <v>276</v>
      </c>
      <c r="E19" s="175"/>
      <c r="F19" s="148" t="s">
        <v>231</v>
      </c>
      <c r="G19" s="148"/>
      <c r="H19" s="148"/>
      <c r="I19" s="148"/>
      <c r="J19" s="148"/>
      <c r="K19" s="148"/>
      <c r="L19" s="148"/>
      <c r="M19" s="148"/>
      <c r="N19" s="148"/>
      <c r="O19" s="148"/>
      <c r="P19" s="148"/>
      <c r="Q19" s="148"/>
      <c r="R19" s="148"/>
      <c r="S19" s="148"/>
      <c r="T19" s="214"/>
    </row>
    <row r="20" ht="13.5" customHeight="1" spans="1:20">
      <c r="A20" s="171"/>
      <c r="B20" s="172" t="s">
        <v>249</v>
      </c>
      <c r="C20" s="176"/>
      <c r="D20" s="174"/>
      <c r="E20" s="177"/>
      <c r="F20" s="148"/>
      <c r="G20" s="148"/>
      <c r="H20" s="148"/>
      <c r="I20" s="148"/>
      <c r="J20" s="148"/>
      <c r="K20" s="148"/>
      <c r="L20" s="148"/>
      <c r="M20" s="148"/>
      <c r="N20" s="148"/>
      <c r="O20" s="148"/>
      <c r="P20" s="148"/>
      <c r="Q20" s="148"/>
      <c r="R20" s="148"/>
      <c r="S20" s="148"/>
      <c r="T20" s="214"/>
    </row>
    <row r="21" ht="13.5" customHeight="1" spans="1:20">
      <c r="A21" s="171"/>
      <c r="B21" s="172"/>
      <c r="C21" s="176"/>
      <c r="D21" s="174" t="s">
        <v>277</v>
      </c>
      <c r="E21" s="177"/>
      <c r="F21" s="148"/>
      <c r="G21" s="148" t="s">
        <v>231</v>
      </c>
      <c r="H21" s="148"/>
      <c r="I21" s="148"/>
      <c r="J21" s="148"/>
      <c r="K21" s="148"/>
      <c r="L21" s="148"/>
      <c r="M21" s="148"/>
      <c r="N21" s="148"/>
      <c r="O21" s="148"/>
      <c r="P21" s="148"/>
      <c r="Q21" s="148"/>
      <c r="R21" s="148"/>
      <c r="S21" s="148"/>
      <c r="T21" s="214"/>
    </row>
    <row r="22" ht="13.5" customHeight="1" spans="1:20">
      <c r="A22" s="171"/>
      <c r="B22" s="172"/>
      <c r="C22" s="176"/>
      <c r="D22" s="174" t="s">
        <v>278</v>
      </c>
      <c r="E22" s="177"/>
      <c r="F22" s="148"/>
      <c r="G22" s="148"/>
      <c r="H22" s="148" t="s">
        <v>231</v>
      </c>
      <c r="I22" s="148"/>
      <c r="J22" s="148"/>
      <c r="K22" s="148"/>
      <c r="L22" s="148"/>
      <c r="M22" s="148"/>
      <c r="N22" s="148"/>
      <c r="O22" s="148"/>
      <c r="P22" s="148"/>
      <c r="Q22" s="148"/>
      <c r="R22" s="148"/>
      <c r="S22" s="148"/>
      <c r="T22" s="214"/>
    </row>
    <row r="23" ht="13.5" customHeight="1" spans="1:20">
      <c r="A23" s="171"/>
      <c r="B23" s="172" t="s">
        <v>250</v>
      </c>
      <c r="C23" s="176"/>
      <c r="D23" s="174"/>
      <c r="E23" s="177"/>
      <c r="F23" s="148"/>
      <c r="G23" s="148"/>
      <c r="H23" s="148"/>
      <c r="I23" s="148"/>
      <c r="J23" s="148"/>
      <c r="K23" s="148"/>
      <c r="L23" s="148"/>
      <c r="M23" s="148"/>
      <c r="N23" s="148"/>
      <c r="O23" s="148"/>
      <c r="P23" s="148"/>
      <c r="Q23" s="148"/>
      <c r="R23" s="148"/>
      <c r="S23" s="148"/>
      <c r="T23" s="214"/>
    </row>
    <row r="24" ht="13.5" customHeight="1" spans="1:20">
      <c r="A24" s="171"/>
      <c r="B24" s="172"/>
      <c r="C24" s="176"/>
      <c r="D24" s="174" t="s">
        <v>276</v>
      </c>
      <c r="E24" s="177"/>
      <c r="F24" s="148"/>
      <c r="G24" s="148" t="s">
        <v>231</v>
      </c>
      <c r="H24" s="148"/>
      <c r="I24" s="148"/>
      <c r="J24" s="148"/>
      <c r="K24" s="148"/>
      <c r="L24" s="148"/>
      <c r="M24" s="148"/>
      <c r="N24" s="148"/>
      <c r="O24" s="148"/>
      <c r="P24" s="148"/>
      <c r="Q24" s="148"/>
      <c r="R24" s="148"/>
      <c r="S24" s="148"/>
      <c r="T24" s="214"/>
    </row>
    <row r="25" ht="13.5" customHeight="1" spans="1:20">
      <c r="A25" s="171"/>
      <c r="B25" s="178"/>
      <c r="C25" s="179"/>
      <c r="D25" s="180" t="s">
        <v>279</v>
      </c>
      <c r="E25" s="181"/>
      <c r="F25" s="159"/>
      <c r="G25" s="159"/>
      <c r="H25" s="159" t="s">
        <v>231</v>
      </c>
      <c r="I25" s="159"/>
      <c r="J25" s="159"/>
      <c r="K25" s="159"/>
      <c r="L25" s="159"/>
      <c r="M25" s="159"/>
      <c r="N25" s="159"/>
      <c r="O25" s="159"/>
      <c r="P25" s="159"/>
      <c r="Q25" s="159"/>
      <c r="R25" s="159"/>
      <c r="S25" s="159"/>
      <c r="T25" s="216"/>
    </row>
    <row r="26" ht="13.5" customHeight="1" spans="1:20">
      <c r="A26" s="171"/>
      <c r="B26" s="178"/>
      <c r="C26" s="182"/>
      <c r="D26" s="180"/>
      <c r="E26" s="183"/>
      <c r="F26" s="159"/>
      <c r="G26" s="159"/>
      <c r="H26" s="159"/>
      <c r="I26" s="159"/>
      <c r="J26" s="159"/>
      <c r="K26" s="159"/>
      <c r="L26" s="159"/>
      <c r="M26" s="159"/>
      <c r="N26" s="159"/>
      <c r="O26" s="159"/>
      <c r="P26" s="159"/>
      <c r="Q26" s="159"/>
      <c r="R26" s="159"/>
      <c r="S26" s="159"/>
      <c r="T26" s="216"/>
    </row>
    <row r="27" ht="13.5" customHeight="1" spans="1:20">
      <c r="A27" s="166" t="s">
        <v>255</v>
      </c>
      <c r="B27" s="184" t="s">
        <v>256</v>
      </c>
      <c r="C27" s="184"/>
      <c r="D27" s="184"/>
      <c r="E27" s="184"/>
      <c r="F27" s="185" t="s">
        <v>197</v>
      </c>
      <c r="G27" s="185" t="s">
        <v>197</v>
      </c>
      <c r="H27" s="185" t="s">
        <v>197</v>
      </c>
      <c r="I27" s="185"/>
      <c r="J27" s="185"/>
      <c r="K27" s="185"/>
      <c r="L27" s="185"/>
      <c r="M27" s="185"/>
      <c r="N27" s="185"/>
      <c r="O27" s="185"/>
      <c r="P27" s="185"/>
      <c r="Q27" s="185"/>
      <c r="R27" s="185"/>
      <c r="S27" s="185"/>
      <c r="T27" s="218"/>
    </row>
    <row r="28" ht="13.5" customHeight="1" spans="1:20">
      <c r="A28" s="171"/>
      <c r="B28" s="186" t="s">
        <v>257</v>
      </c>
      <c r="C28" s="186"/>
      <c r="D28" s="186"/>
      <c r="E28" s="187"/>
      <c r="F28" s="188" t="s">
        <v>258</v>
      </c>
      <c r="G28" s="188" t="s">
        <v>271</v>
      </c>
      <c r="H28" s="188" t="s">
        <v>271</v>
      </c>
      <c r="I28" s="188"/>
      <c r="J28" s="188"/>
      <c r="K28" s="188"/>
      <c r="L28" s="188"/>
      <c r="M28" s="188"/>
      <c r="N28" s="188"/>
      <c r="O28" s="188"/>
      <c r="P28" s="188"/>
      <c r="Q28" s="188"/>
      <c r="R28" s="188"/>
      <c r="S28" s="188"/>
      <c r="T28" s="219"/>
    </row>
    <row r="29" ht="13.5" customHeight="1" spans="1:20">
      <c r="A29" s="171"/>
      <c r="B29" s="189" t="s">
        <v>259</v>
      </c>
      <c r="C29" s="189"/>
      <c r="D29" s="189"/>
      <c r="E29" s="190"/>
      <c r="F29" s="191">
        <v>44165</v>
      </c>
      <c r="G29" s="191">
        <v>44165</v>
      </c>
      <c r="H29" s="191">
        <v>44165</v>
      </c>
      <c r="I29" s="191"/>
      <c r="J29" s="191"/>
      <c r="K29" s="191"/>
      <c r="L29" s="191"/>
      <c r="M29" s="191"/>
      <c r="N29" s="191"/>
      <c r="O29" s="191"/>
      <c r="P29" s="191"/>
      <c r="Q29" s="191"/>
      <c r="R29" s="191"/>
      <c r="S29" s="191"/>
      <c r="T29" s="220"/>
    </row>
    <row r="30" ht="13.95" spans="1:20">
      <c r="A30" s="192"/>
      <c r="B30" s="193" t="s">
        <v>260</v>
      </c>
      <c r="C30" s="193"/>
      <c r="D30" s="193"/>
      <c r="E30" s="194"/>
      <c r="F30" s="195"/>
      <c r="G30" s="195"/>
      <c r="H30" s="195"/>
      <c r="I30" s="195"/>
      <c r="J30" s="195"/>
      <c r="K30" s="195"/>
      <c r="L30" s="195"/>
      <c r="M30" s="195"/>
      <c r="N30" s="195"/>
      <c r="O30" s="195"/>
      <c r="P30" s="195"/>
      <c r="Q30" s="195"/>
      <c r="R30" s="195"/>
      <c r="S30" s="195"/>
      <c r="T30" s="221"/>
    </row>
    <row r="31" ht="13.95" spans="1:1">
      <c r="A31"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7:D27"/>
    <mergeCell ref="B28:D28"/>
    <mergeCell ref="B29:D29"/>
    <mergeCell ref="B30:D30"/>
  </mergeCells>
  <dataValidations count="3">
    <dataValidation type="list" allowBlank="1" showErrorMessage="1" sqref="F27:T27">
      <formula1>"N,A,B,"</formula1>
    </dataValidation>
    <dataValidation type="list" allowBlank="1" showErrorMessage="1" sqref="F28:T28">
      <formula1>"P,F,"</formula1>
    </dataValidation>
    <dataValidation type="list" allowBlank="1" showErrorMessage="1" sqref="F10:T26">
      <formula1>"O,"</formula1>
    </dataValidation>
  </dataValidations>
  <pageMargins left="0.7" right="0.7" top="0.75" bottom="0.75" header="0.3" footer="0.3"/>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0"/>
  <sheetViews>
    <sheetView topLeftCell="A11" workbookViewId="0">
      <selection activeCell="D13" sqref="D13"/>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38.1018518518519" style="116" customWidth="1"/>
    <col min="5" max="5" width="1.10185185185185" style="114" hidden="1" customWidth="1"/>
    <col min="6" max="21" width="2.76851851851852" style="114" customWidth="1"/>
    <col min="22" max="257" width="8.99074074074074" style="114"/>
  </cols>
  <sheetData>
    <row r="1" ht="13.5" customHeight="1" spans="1:2">
      <c r="A1" s="117"/>
      <c r="B1" s="118"/>
    </row>
    <row r="2" ht="13.5" customHeight="1" spans="1:22">
      <c r="A2" s="120" t="s">
        <v>207</v>
      </c>
      <c r="B2" s="120"/>
      <c r="C2" s="121" t="s">
        <v>145</v>
      </c>
      <c r="D2" s="121"/>
      <c r="E2" s="121"/>
      <c r="F2" s="122" t="s">
        <v>119</v>
      </c>
      <c r="G2" s="122"/>
      <c r="H2" s="122"/>
      <c r="I2" s="122"/>
      <c r="J2" s="122"/>
      <c r="K2" s="122"/>
      <c r="L2" s="197" t="s">
        <v>144</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13.5"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280</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COUNTIF(F27:HQ27,"P")</f>
        <v>1</v>
      </c>
      <c r="B7" s="131"/>
      <c r="C7" s="132">
        <f>COUNTIF(F27:HQ27,"F")</f>
        <v>2</v>
      </c>
      <c r="D7" s="132"/>
      <c r="E7" s="132"/>
      <c r="F7" s="132">
        <f>SUM(O7,-A7,-C7)</f>
        <v>0</v>
      </c>
      <c r="G7" s="132"/>
      <c r="H7" s="132"/>
      <c r="I7" s="132"/>
      <c r="J7" s="132"/>
      <c r="K7" s="132"/>
      <c r="L7" s="203">
        <f>COUNTIF(E26:HQ26,"N")</f>
        <v>3</v>
      </c>
      <c r="M7" s="203">
        <f>COUNTIF(E26:HQ26,"A")</f>
        <v>0</v>
      </c>
      <c r="N7" s="203">
        <f>COUNTIF(E26:HQ26,"B")</f>
        <v>0</v>
      </c>
      <c r="O7" s="204">
        <f>COUNTA(E9:HT9)</f>
        <v>3</v>
      </c>
      <c r="P7" s="204"/>
      <c r="Q7" s="204"/>
      <c r="R7" s="204"/>
      <c r="S7" s="204"/>
      <c r="T7" s="204"/>
      <c r="U7" s="208"/>
    </row>
    <row r="8" ht="13.95"/>
    <row r="9" ht="46.5" customHeight="1" spans="1:23">
      <c r="A9" s="133"/>
      <c r="B9" s="134"/>
      <c r="C9" s="135"/>
      <c r="D9" s="136"/>
      <c r="E9" s="135"/>
      <c r="F9" s="137" t="s">
        <v>216</v>
      </c>
      <c r="G9" s="137" t="s">
        <v>217</v>
      </c>
      <c r="H9" s="137" t="s">
        <v>218</v>
      </c>
      <c r="I9" s="137"/>
      <c r="J9" s="137"/>
      <c r="K9" s="137"/>
      <c r="L9" s="137"/>
      <c r="M9" s="137"/>
      <c r="N9" s="137"/>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227</v>
      </c>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c r="D13" s="147" t="b">
        <f>TRUE()</f>
        <v>1</v>
      </c>
      <c r="E13" s="150"/>
      <c r="F13" s="148" t="s">
        <v>231</v>
      </c>
      <c r="G13" s="148"/>
      <c r="H13" s="148"/>
      <c r="I13" s="148"/>
      <c r="J13" s="148"/>
      <c r="K13" s="148"/>
      <c r="L13" s="148"/>
      <c r="M13" s="148"/>
      <c r="N13" s="148"/>
      <c r="O13" s="148"/>
      <c r="P13" s="148"/>
      <c r="Q13" s="148"/>
      <c r="R13" s="148"/>
      <c r="S13" s="148"/>
      <c r="T13" s="214"/>
    </row>
    <row r="14" ht="13.5" customHeight="1" spans="1:20">
      <c r="A14" s="144"/>
      <c r="B14" s="145"/>
      <c r="C14" s="146"/>
      <c r="D14" s="153" t="s">
        <v>275</v>
      </c>
      <c r="E14" s="152"/>
      <c r="F14" s="148"/>
      <c r="G14" s="148" t="s">
        <v>231</v>
      </c>
      <c r="H14" s="148"/>
      <c r="I14" s="148"/>
      <c r="J14" s="148"/>
      <c r="K14" s="148"/>
      <c r="L14" s="148"/>
      <c r="M14" s="148"/>
      <c r="N14" s="148"/>
      <c r="O14" s="148"/>
      <c r="P14" s="148"/>
      <c r="Q14" s="148"/>
      <c r="R14" s="148"/>
      <c r="S14" s="148"/>
      <c r="T14" s="214"/>
    </row>
    <row r="15" ht="13.5" customHeight="1" spans="1:20">
      <c r="A15" s="144"/>
      <c r="B15" s="145"/>
      <c r="C15" s="146"/>
      <c r="D15" s="153" t="s">
        <v>275</v>
      </c>
      <c r="E15" s="152"/>
      <c r="F15" s="148"/>
      <c r="G15" s="148"/>
      <c r="H15" s="148" t="s">
        <v>231</v>
      </c>
      <c r="I15" s="148"/>
      <c r="J15" s="148"/>
      <c r="K15" s="148"/>
      <c r="L15" s="148"/>
      <c r="M15" s="148"/>
      <c r="N15" s="148"/>
      <c r="O15" s="148"/>
      <c r="P15" s="148"/>
      <c r="Q15" s="148"/>
      <c r="R15" s="148"/>
      <c r="S15" s="148"/>
      <c r="T15" s="214"/>
    </row>
    <row r="16" ht="13.5" customHeight="1" spans="1:20">
      <c r="A16" s="144"/>
      <c r="B16" s="161"/>
      <c r="C16" s="162"/>
      <c r="D16" s="163"/>
      <c r="E16" s="164"/>
      <c r="F16" s="165"/>
      <c r="G16" s="165"/>
      <c r="H16" s="165"/>
      <c r="I16" s="165"/>
      <c r="J16" s="165"/>
      <c r="K16" s="165"/>
      <c r="L16" s="165"/>
      <c r="M16" s="165"/>
      <c r="N16" s="165"/>
      <c r="O16" s="165"/>
      <c r="P16" s="165"/>
      <c r="Q16" s="165"/>
      <c r="R16" s="165"/>
      <c r="S16" s="165"/>
      <c r="T16" s="217"/>
    </row>
    <row r="17" ht="13.5" customHeight="1" spans="1:20">
      <c r="A17" s="166" t="s">
        <v>245</v>
      </c>
      <c r="B17" s="167" t="s">
        <v>246</v>
      </c>
      <c r="C17" s="168"/>
      <c r="D17" s="169"/>
      <c r="E17" s="170"/>
      <c r="F17" s="143"/>
      <c r="G17" s="143"/>
      <c r="H17" s="143"/>
      <c r="I17" s="143"/>
      <c r="J17" s="143"/>
      <c r="K17" s="143"/>
      <c r="L17" s="143"/>
      <c r="M17" s="143"/>
      <c r="N17" s="143"/>
      <c r="O17" s="143"/>
      <c r="P17" s="143"/>
      <c r="Q17" s="143"/>
      <c r="R17" s="143"/>
      <c r="S17" s="143"/>
      <c r="T17" s="213"/>
    </row>
    <row r="18" ht="13.5" customHeight="1" spans="1:20">
      <c r="A18" s="171"/>
      <c r="B18" s="172"/>
      <c r="C18" s="173"/>
      <c r="D18" s="174" t="s">
        <v>281</v>
      </c>
      <c r="E18" s="175"/>
      <c r="F18" s="148" t="s">
        <v>231</v>
      </c>
      <c r="G18" s="148"/>
      <c r="H18" s="148"/>
      <c r="I18" s="148"/>
      <c r="J18" s="148"/>
      <c r="K18" s="148"/>
      <c r="L18" s="148"/>
      <c r="M18" s="148"/>
      <c r="N18" s="148"/>
      <c r="O18" s="148"/>
      <c r="P18" s="148"/>
      <c r="Q18" s="148"/>
      <c r="R18" s="148"/>
      <c r="S18" s="148"/>
      <c r="T18" s="214"/>
    </row>
    <row r="19" ht="13.5" customHeight="1" spans="1:20">
      <c r="A19" s="171"/>
      <c r="B19" s="172" t="s">
        <v>249</v>
      </c>
      <c r="C19" s="176"/>
      <c r="D19" s="174"/>
      <c r="E19" s="177"/>
      <c r="F19" s="148"/>
      <c r="G19" s="148"/>
      <c r="H19" s="148"/>
      <c r="I19" s="148"/>
      <c r="J19" s="148"/>
      <c r="K19" s="148"/>
      <c r="L19" s="148"/>
      <c r="M19" s="148"/>
      <c r="N19" s="148"/>
      <c r="O19" s="148"/>
      <c r="P19" s="148"/>
      <c r="Q19" s="148"/>
      <c r="R19" s="148"/>
      <c r="S19" s="148"/>
      <c r="T19" s="214"/>
    </row>
    <row r="20" ht="13.5" customHeight="1" spans="1:20">
      <c r="A20" s="171"/>
      <c r="B20" s="172"/>
      <c r="C20" s="176"/>
      <c r="D20" s="174" t="s">
        <v>277</v>
      </c>
      <c r="E20" s="177"/>
      <c r="F20" s="148"/>
      <c r="G20" s="148" t="s">
        <v>231</v>
      </c>
      <c r="H20" s="148"/>
      <c r="I20" s="148"/>
      <c r="J20" s="148"/>
      <c r="K20" s="148"/>
      <c r="L20" s="148"/>
      <c r="M20" s="148"/>
      <c r="N20" s="148"/>
      <c r="O20" s="148"/>
      <c r="P20" s="148"/>
      <c r="Q20" s="148"/>
      <c r="R20" s="148"/>
      <c r="S20" s="148"/>
      <c r="T20" s="214"/>
    </row>
    <row r="21" ht="13.5" customHeight="1" spans="1:20">
      <c r="A21" s="171"/>
      <c r="B21" s="172"/>
      <c r="C21" s="176"/>
      <c r="D21" s="174" t="s">
        <v>278</v>
      </c>
      <c r="E21" s="177"/>
      <c r="F21" s="148"/>
      <c r="G21" s="148"/>
      <c r="H21" s="148" t="s">
        <v>231</v>
      </c>
      <c r="I21" s="148"/>
      <c r="J21" s="148"/>
      <c r="K21" s="148"/>
      <c r="L21" s="148"/>
      <c r="M21" s="148"/>
      <c r="N21" s="148"/>
      <c r="O21" s="148"/>
      <c r="P21" s="148"/>
      <c r="Q21" s="148"/>
      <c r="R21" s="148"/>
      <c r="S21" s="148"/>
      <c r="T21" s="214"/>
    </row>
    <row r="22" ht="13.5" customHeight="1" spans="1:20">
      <c r="A22" s="171"/>
      <c r="B22" s="172" t="s">
        <v>250</v>
      </c>
      <c r="C22" s="176"/>
      <c r="D22" s="174"/>
      <c r="E22" s="177"/>
      <c r="F22" s="148"/>
      <c r="G22" s="148"/>
      <c r="H22" s="148"/>
      <c r="I22" s="148"/>
      <c r="J22" s="148"/>
      <c r="K22" s="148"/>
      <c r="L22" s="148"/>
      <c r="M22" s="148"/>
      <c r="N22" s="148"/>
      <c r="O22" s="148"/>
      <c r="P22" s="148"/>
      <c r="Q22" s="148"/>
      <c r="R22" s="148"/>
      <c r="S22" s="148"/>
      <c r="T22" s="214"/>
    </row>
    <row r="23" ht="13.5" customHeight="1" spans="1:20">
      <c r="A23" s="171"/>
      <c r="B23" s="172"/>
      <c r="C23" s="176"/>
      <c r="D23" s="174" t="s">
        <v>281</v>
      </c>
      <c r="E23" s="177"/>
      <c r="F23" s="148" t="s">
        <v>231</v>
      </c>
      <c r="G23" s="148"/>
      <c r="H23" s="148"/>
      <c r="I23" s="148"/>
      <c r="J23" s="148"/>
      <c r="K23" s="148"/>
      <c r="L23" s="148"/>
      <c r="M23" s="148"/>
      <c r="N23" s="148"/>
      <c r="O23" s="148"/>
      <c r="P23" s="148"/>
      <c r="Q23" s="148"/>
      <c r="R23" s="148"/>
      <c r="S23" s="148"/>
      <c r="T23" s="214"/>
    </row>
    <row r="24" ht="13.5" customHeight="1" spans="1:20">
      <c r="A24" s="171"/>
      <c r="B24" s="178"/>
      <c r="C24" s="179"/>
      <c r="D24" s="180" t="s">
        <v>282</v>
      </c>
      <c r="E24" s="181"/>
      <c r="F24" s="159"/>
      <c r="G24" s="159" t="s">
        <v>231</v>
      </c>
      <c r="H24" s="159" t="s">
        <v>231</v>
      </c>
      <c r="I24" s="159"/>
      <c r="J24" s="159"/>
      <c r="K24" s="159"/>
      <c r="L24" s="159"/>
      <c r="M24" s="159"/>
      <c r="N24" s="159"/>
      <c r="O24" s="159"/>
      <c r="P24" s="159"/>
      <c r="Q24" s="159"/>
      <c r="R24" s="159"/>
      <c r="S24" s="159"/>
      <c r="T24" s="216"/>
    </row>
    <row r="25" ht="13.5" customHeight="1" spans="1:20">
      <c r="A25" s="171"/>
      <c r="B25" s="178"/>
      <c r="C25" s="182"/>
      <c r="D25" s="180"/>
      <c r="E25" s="183"/>
      <c r="F25" s="159"/>
      <c r="G25" s="159"/>
      <c r="H25" s="159"/>
      <c r="I25" s="159"/>
      <c r="J25" s="159"/>
      <c r="K25" s="159"/>
      <c r="L25" s="159"/>
      <c r="M25" s="159"/>
      <c r="N25" s="159"/>
      <c r="O25" s="159"/>
      <c r="P25" s="159"/>
      <c r="Q25" s="159"/>
      <c r="R25" s="159"/>
      <c r="S25" s="159"/>
      <c r="T25" s="216"/>
    </row>
    <row r="26" ht="13.5" customHeight="1" spans="1:20">
      <c r="A26" s="166" t="s">
        <v>255</v>
      </c>
      <c r="B26" s="184" t="s">
        <v>256</v>
      </c>
      <c r="C26" s="184"/>
      <c r="D26" s="184"/>
      <c r="E26" s="184"/>
      <c r="F26" s="185" t="s">
        <v>197</v>
      </c>
      <c r="G26" s="185" t="s">
        <v>197</v>
      </c>
      <c r="H26" s="185" t="s">
        <v>197</v>
      </c>
      <c r="I26" s="185"/>
      <c r="J26" s="185"/>
      <c r="K26" s="185"/>
      <c r="L26" s="185"/>
      <c r="M26" s="185"/>
      <c r="N26" s="185"/>
      <c r="O26" s="185"/>
      <c r="P26" s="185"/>
      <c r="Q26" s="185"/>
      <c r="R26" s="185"/>
      <c r="S26" s="185"/>
      <c r="T26" s="218"/>
    </row>
    <row r="27" ht="13.5" customHeight="1" spans="1:20">
      <c r="A27" s="171"/>
      <c r="B27" s="186" t="s">
        <v>257</v>
      </c>
      <c r="C27" s="186"/>
      <c r="D27" s="186"/>
      <c r="E27" s="187"/>
      <c r="F27" s="188" t="s">
        <v>258</v>
      </c>
      <c r="G27" s="188" t="s">
        <v>271</v>
      </c>
      <c r="H27" s="188" t="s">
        <v>271</v>
      </c>
      <c r="I27" s="188"/>
      <c r="J27" s="188"/>
      <c r="K27" s="188"/>
      <c r="L27" s="188"/>
      <c r="M27" s="188"/>
      <c r="N27" s="188"/>
      <c r="O27" s="188"/>
      <c r="P27" s="188"/>
      <c r="Q27" s="188"/>
      <c r="R27" s="188"/>
      <c r="S27" s="188"/>
      <c r="T27" s="219"/>
    </row>
    <row r="28" ht="13.5" customHeight="1" spans="1:20">
      <c r="A28" s="171"/>
      <c r="B28" s="189" t="s">
        <v>259</v>
      </c>
      <c r="C28" s="189"/>
      <c r="D28" s="189"/>
      <c r="E28" s="190"/>
      <c r="F28" s="191">
        <v>44165</v>
      </c>
      <c r="G28" s="191">
        <v>44165</v>
      </c>
      <c r="H28" s="191">
        <v>44165</v>
      </c>
      <c r="I28" s="191"/>
      <c r="J28" s="191"/>
      <c r="K28" s="191"/>
      <c r="L28" s="191"/>
      <c r="M28" s="191"/>
      <c r="N28" s="191"/>
      <c r="O28" s="191"/>
      <c r="P28" s="191"/>
      <c r="Q28" s="191"/>
      <c r="R28" s="191"/>
      <c r="S28" s="191"/>
      <c r="T28" s="220"/>
    </row>
    <row r="29" ht="13.95" spans="1:20">
      <c r="A29" s="192"/>
      <c r="B29" s="193" t="s">
        <v>260</v>
      </c>
      <c r="C29" s="193"/>
      <c r="D29" s="193"/>
      <c r="E29" s="194"/>
      <c r="F29" s="195"/>
      <c r="G29" s="195"/>
      <c r="H29" s="195"/>
      <c r="I29" s="195"/>
      <c r="J29" s="195"/>
      <c r="K29" s="195"/>
      <c r="L29" s="195"/>
      <c r="M29" s="195"/>
      <c r="N29" s="195"/>
      <c r="O29" s="195"/>
      <c r="P29" s="195"/>
      <c r="Q29" s="195"/>
      <c r="R29" s="195"/>
      <c r="S29" s="195"/>
      <c r="T29" s="221"/>
    </row>
    <row r="30" ht="13.95" spans="1:1">
      <c r="A30"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6:D26"/>
    <mergeCell ref="B27:D27"/>
    <mergeCell ref="B28:D28"/>
    <mergeCell ref="B29:D29"/>
  </mergeCells>
  <dataValidations count="3">
    <dataValidation type="list" allowBlank="1" showErrorMessage="1" sqref="F26:T26">
      <formula1>"N,A,B,"</formula1>
    </dataValidation>
    <dataValidation type="list" allowBlank="1" showErrorMessage="1" sqref="F27:T27">
      <formula1>"P,F,"</formula1>
    </dataValidation>
    <dataValidation type="list" allowBlank="1" showErrorMessage="1" sqref="F10:T25">
      <formula1>"O,"</formula1>
    </dataValidation>
  </dataValidations>
  <pageMargins left="0.7" right="0.7" top="0.75" bottom="0.75" header="0.3" footer="0.3"/>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0"/>
  <sheetViews>
    <sheetView tabSelected="1" workbookViewId="0">
      <selection activeCell="D13" sqref="D13"/>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38.1018518518519" style="116" customWidth="1"/>
    <col min="5" max="5" width="1.10185185185185" style="114" hidden="1" customWidth="1"/>
    <col min="6" max="21" width="2.76851851851852" style="114" customWidth="1"/>
    <col min="22" max="257" width="8.99074074074074" style="114"/>
  </cols>
  <sheetData>
    <row r="1" ht="13.5" customHeight="1" spans="1:2">
      <c r="A1" s="117"/>
      <c r="B1" s="118"/>
    </row>
    <row r="2" ht="13.5" customHeight="1" spans="1:22">
      <c r="A2" s="120" t="s">
        <v>207</v>
      </c>
      <c r="B2" s="120"/>
      <c r="C2" s="121" t="s">
        <v>151</v>
      </c>
      <c r="D2" s="121"/>
      <c r="E2" s="121"/>
      <c r="F2" s="122" t="s">
        <v>119</v>
      </c>
      <c r="G2" s="122"/>
      <c r="H2" s="122"/>
      <c r="I2" s="122"/>
      <c r="J2" s="122"/>
      <c r="K2" s="122"/>
      <c r="L2" s="197" t="s">
        <v>150</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13.5"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283</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COUNTIF(F27:HQ27,"P")</f>
        <v>1</v>
      </c>
      <c r="B7" s="131"/>
      <c r="C7" s="132">
        <f>COUNTIF(F27:HQ27,"F")</f>
        <v>2</v>
      </c>
      <c r="D7" s="132"/>
      <c r="E7" s="132"/>
      <c r="F7" s="132">
        <f>SUM(O7,-A7,-C7)</f>
        <v>0</v>
      </c>
      <c r="G7" s="132"/>
      <c r="H7" s="132"/>
      <c r="I7" s="132"/>
      <c r="J7" s="132"/>
      <c r="K7" s="132"/>
      <c r="L7" s="203">
        <f>COUNTIF(E26:HQ26,"N")</f>
        <v>3</v>
      </c>
      <c r="M7" s="203">
        <f>COUNTIF(E26:HQ26,"A")</f>
        <v>0</v>
      </c>
      <c r="N7" s="203">
        <f>COUNTIF(E26:HQ26,"B")</f>
        <v>0</v>
      </c>
      <c r="O7" s="204">
        <f>COUNTA(E9:HT9)</f>
        <v>3</v>
      </c>
      <c r="P7" s="204"/>
      <c r="Q7" s="204"/>
      <c r="R7" s="204"/>
      <c r="S7" s="204"/>
      <c r="T7" s="204"/>
      <c r="U7" s="208"/>
    </row>
    <row r="8" ht="13.95"/>
    <row r="9" ht="46.5" customHeight="1" spans="1:23">
      <c r="A9" s="133"/>
      <c r="B9" s="134"/>
      <c r="C9" s="135"/>
      <c r="D9" s="136"/>
      <c r="E9" s="135"/>
      <c r="F9" s="137" t="s">
        <v>216</v>
      </c>
      <c r="G9" s="137" t="s">
        <v>217</v>
      </c>
      <c r="H9" s="137" t="s">
        <v>218</v>
      </c>
      <c r="I9" s="137"/>
      <c r="J9" s="137"/>
      <c r="K9" s="137"/>
      <c r="L9" s="137"/>
      <c r="M9" s="137"/>
      <c r="N9" s="137"/>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227</v>
      </c>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c r="D13" s="147" t="b">
        <f>FALSE()</f>
        <v>0</v>
      </c>
      <c r="E13" s="150"/>
      <c r="F13" s="148" t="s">
        <v>231</v>
      </c>
      <c r="G13" s="148"/>
      <c r="H13" s="148"/>
      <c r="I13" s="148"/>
      <c r="J13" s="148"/>
      <c r="K13" s="148"/>
      <c r="L13" s="148"/>
      <c r="M13" s="148"/>
      <c r="N13" s="148"/>
      <c r="O13" s="148"/>
      <c r="P13" s="148"/>
      <c r="Q13" s="148"/>
      <c r="R13" s="148"/>
      <c r="S13" s="148"/>
      <c r="T13" s="214"/>
    </row>
    <row r="14" ht="13.5" customHeight="1" spans="1:20">
      <c r="A14" s="144"/>
      <c r="B14" s="145"/>
      <c r="C14" s="146"/>
      <c r="D14" s="147" t="b">
        <f>FALSE()</f>
        <v>0</v>
      </c>
      <c r="E14" s="152"/>
      <c r="F14" s="148"/>
      <c r="G14" s="148" t="s">
        <v>231</v>
      </c>
      <c r="H14" s="148"/>
      <c r="I14" s="148"/>
      <c r="J14" s="148"/>
      <c r="K14" s="148"/>
      <c r="L14" s="148"/>
      <c r="M14" s="148"/>
      <c r="N14" s="148"/>
      <c r="O14" s="148"/>
      <c r="P14" s="148"/>
      <c r="Q14" s="148"/>
      <c r="R14" s="148"/>
      <c r="S14" s="148"/>
      <c r="T14" s="214"/>
    </row>
    <row r="15" ht="13.5" customHeight="1" spans="1:20">
      <c r="A15" s="144"/>
      <c r="B15" s="145"/>
      <c r="C15" s="146"/>
      <c r="D15" s="147" t="b">
        <f>FALSE()</f>
        <v>0</v>
      </c>
      <c r="E15" s="152"/>
      <c r="F15" s="148"/>
      <c r="G15" s="148"/>
      <c r="H15" s="148" t="s">
        <v>231</v>
      </c>
      <c r="I15" s="148"/>
      <c r="J15" s="148"/>
      <c r="K15" s="148"/>
      <c r="L15" s="148"/>
      <c r="M15" s="148"/>
      <c r="N15" s="148"/>
      <c r="O15" s="148"/>
      <c r="P15" s="148"/>
      <c r="Q15" s="148"/>
      <c r="R15" s="148"/>
      <c r="S15" s="148"/>
      <c r="T15" s="214"/>
    </row>
    <row r="16" ht="13.5" customHeight="1" spans="1:20">
      <c r="A16" s="144"/>
      <c r="B16" s="161"/>
      <c r="C16" s="162"/>
      <c r="D16" s="163"/>
      <c r="E16" s="164"/>
      <c r="F16" s="165"/>
      <c r="G16" s="165"/>
      <c r="H16" s="165"/>
      <c r="I16" s="165"/>
      <c r="J16" s="165"/>
      <c r="K16" s="165"/>
      <c r="L16" s="165"/>
      <c r="M16" s="165"/>
      <c r="N16" s="165"/>
      <c r="O16" s="165"/>
      <c r="P16" s="165"/>
      <c r="Q16" s="165"/>
      <c r="R16" s="165"/>
      <c r="S16" s="165"/>
      <c r="T16" s="217"/>
    </row>
    <row r="17" ht="13.5" customHeight="1" spans="1:20">
      <c r="A17" s="166" t="s">
        <v>245</v>
      </c>
      <c r="B17" s="167" t="s">
        <v>246</v>
      </c>
      <c r="C17" s="168"/>
      <c r="D17" s="169"/>
      <c r="E17" s="170"/>
      <c r="F17" s="143"/>
      <c r="G17" s="143"/>
      <c r="H17" s="143"/>
      <c r="I17" s="143"/>
      <c r="J17" s="143"/>
      <c r="K17" s="143"/>
      <c r="L17" s="143"/>
      <c r="M17" s="143"/>
      <c r="N17" s="143"/>
      <c r="O17" s="143"/>
      <c r="P17" s="143"/>
      <c r="Q17" s="143"/>
      <c r="R17" s="143"/>
      <c r="S17" s="143"/>
      <c r="T17" s="213"/>
    </row>
    <row r="18" ht="13.5" customHeight="1" spans="1:20">
      <c r="A18" s="171"/>
      <c r="B18" s="172"/>
      <c r="C18" s="173"/>
      <c r="D18" s="174" t="s">
        <v>284</v>
      </c>
      <c r="E18" s="175"/>
      <c r="F18" s="148" t="s">
        <v>231</v>
      </c>
      <c r="G18" s="148"/>
      <c r="H18" s="148"/>
      <c r="I18" s="148"/>
      <c r="J18" s="148"/>
      <c r="K18" s="148"/>
      <c r="L18" s="148"/>
      <c r="M18" s="148"/>
      <c r="N18" s="148"/>
      <c r="O18" s="148"/>
      <c r="P18" s="148"/>
      <c r="Q18" s="148"/>
      <c r="R18" s="148"/>
      <c r="S18" s="148"/>
      <c r="T18" s="214"/>
    </row>
    <row r="19" ht="13.5" customHeight="1" spans="1:20">
      <c r="A19" s="171"/>
      <c r="B19" s="172" t="s">
        <v>249</v>
      </c>
      <c r="C19" s="176"/>
      <c r="D19" s="174"/>
      <c r="E19" s="177"/>
      <c r="F19" s="148"/>
      <c r="G19" s="148"/>
      <c r="H19" s="148"/>
      <c r="I19" s="148"/>
      <c r="J19" s="148"/>
      <c r="K19" s="148"/>
      <c r="L19" s="148"/>
      <c r="M19" s="148"/>
      <c r="N19" s="148"/>
      <c r="O19" s="148"/>
      <c r="P19" s="148"/>
      <c r="Q19" s="148"/>
      <c r="R19" s="148"/>
      <c r="S19" s="148"/>
      <c r="T19" s="214"/>
    </row>
    <row r="20" ht="13.5" customHeight="1" spans="1:20">
      <c r="A20" s="171"/>
      <c r="B20" s="172"/>
      <c r="C20" s="176"/>
      <c r="D20" s="226" t="s">
        <v>277</v>
      </c>
      <c r="E20" s="177"/>
      <c r="F20" s="148"/>
      <c r="G20" s="148" t="s">
        <v>231</v>
      </c>
      <c r="H20" s="148"/>
      <c r="I20" s="148"/>
      <c r="J20" s="148"/>
      <c r="K20" s="148"/>
      <c r="L20" s="148"/>
      <c r="M20" s="148"/>
      <c r="N20" s="148"/>
      <c r="O20" s="148"/>
      <c r="P20" s="148"/>
      <c r="Q20" s="148"/>
      <c r="R20" s="148"/>
      <c r="S20" s="148"/>
      <c r="T20" s="214"/>
    </row>
    <row r="21" ht="13.5" customHeight="1" spans="1:20">
      <c r="A21" s="171"/>
      <c r="B21" s="172"/>
      <c r="C21" s="176"/>
      <c r="D21" s="174" t="s">
        <v>278</v>
      </c>
      <c r="E21" s="177"/>
      <c r="F21" s="148"/>
      <c r="G21" s="148"/>
      <c r="H21" s="148" t="s">
        <v>231</v>
      </c>
      <c r="I21" s="148"/>
      <c r="J21" s="148"/>
      <c r="K21" s="148"/>
      <c r="L21" s="148"/>
      <c r="M21" s="148"/>
      <c r="N21" s="148"/>
      <c r="O21" s="148"/>
      <c r="P21" s="148"/>
      <c r="Q21" s="148"/>
      <c r="R21" s="148"/>
      <c r="S21" s="148"/>
      <c r="T21" s="214"/>
    </row>
    <row r="22" ht="13.5" customHeight="1" spans="1:20">
      <c r="A22" s="171"/>
      <c r="B22" s="172" t="s">
        <v>250</v>
      </c>
      <c r="C22" s="176"/>
      <c r="D22" s="174"/>
      <c r="E22" s="177"/>
      <c r="F22" s="148"/>
      <c r="G22" s="148"/>
      <c r="H22" s="148"/>
      <c r="I22" s="148"/>
      <c r="J22" s="148"/>
      <c r="K22" s="148"/>
      <c r="L22" s="148"/>
      <c r="M22" s="148"/>
      <c r="N22" s="148"/>
      <c r="O22" s="148"/>
      <c r="P22" s="148"/>
      <c r="Q22" s="148"/>
      <c r="R22" s="148"/>
      <c r="S22" s="148"/>
      <c r="T22" s="214"/>
    </row>
    <row r="23" ht="13.5" customHeight="1" spans="1:20">
      <c r="A23" s="171"/>
      <c r="B23" s="172"/>
      <c r="C23" s="176"/>
      <c r="D23" s="174" t="s">
        <v>284</v>
      </c>
      <c r="E23" s="177"/>
      <c r="F23" s="148" t="s">
        <v>231</v>
      </c>
      <c r="G23" s="148"/>
      <c r="H23" s="148"/>
      <c r="I23" s="148"/>
      <c r="J23" s="148"/>
      <c r="K23" s="148"/>
      <c r="L23" s="148"/>
      <c r="M23" s="148"/>
      <c r="N23" s="148"/>
      <c r="O23" s="148"/>
      <c r="P23" s="148"/>
      <c r="Q23" s="148"/>
      <c r="R23" s="148"/>
      <c r="S23" s="148"/>
      <c r="T23" s="214"/>
    </row>
    <row r="24" ht="13.5" customHeight="1" spans="1:20">
      <c r="A24" s="171"/>
      <c r="B24" s="178"/>
      <c r="C24" s="179"/>
      <c r="D24" s="180" t="s">
        <v>285</v>
      </c>
      <c r="E24" s="181"/>
      <c r="F24" s="159"/>
      <c r="G24" s="159" t="s">
        <v>231</v>
      </c>
      <c r="H24" s="159" t="s">
        <v>231</v>
      </c>
      <c r="I24" s="159"/>
      <c r="J24" s="159"/>
      <c r="K24" s="159"/>
      <c r="L24" s="159"/>
      <c r="M24" s="159"/>
      <c r="N24" s="159"/>
      <c r="O24" s="159"/>
      <c r="P24" s="159"/>
      <c r="Q24" s="159"/>
      <c r="R24" s="159"/>
      <c r="S24" s="159"/>
      <c r="T24" s="216"/>
    </row>
    <row r="25" ht="13.5" customHeight="1" spans="1:20">
      <c r="A25" s="171"/>
      <c r="B25" s="178"/>
      <c r="C25" s="182"/>
      <c r="D25" s="180"/>
      <c r="E25" s="183"/>
      <c r="F25" s="159"/>
      <c r="G25" s="159"/>
      <c r="H25" s="159"/>
      <c r="I25" s="159"/>
      <c r="J25" s="159"/>
      <c r="K25" s="159"/>
      <c r="L25" s="159"/>
      <c r="M25" s="159"/>
      <c r="N25" s="159"/>
      <c r="O25" s="159"/>
      <c r="P25" s="159"/>
      <c r="Q25" s="159"/>
      <c r="R25" s="159"/>
      <c r="S25" s="159"/>
      <c r="T25" s="216"/>
    </row>
    <row r="26" ht="13.5" customHeight="1" spans="1:20">
      <c r="A26" s="166" t="s">
        <v>255</v>
      </c>
      <c r="B26" s="184" t="s">
        <v>256</v>
      </c>
      <c r="C26" s="184"/>
      <c r="D26" s="184"/>
      <c r="E26" s="184"/>
      <c r="F26" s="185" t="s">
        <v>197</v>
      </c>
      <c r="G26" s="185" t="s">
        <v>197</v>
      </c>
      <c r="H26" s="185" t="s">
        <v>197</v>
      </c>
      <c r="I26" s="185"/>
      <c r="J26" s="185"/>
      <c r="K26" s="185"/>
      <c r="L26" s="185"/>
      <c r="M26" s="185"/>
      <c r="N26" s="185"/>
      <c r="O26" s="185"/>
      <c r="P26" s="185"/>
      <c r="Q26" s="185"/>
      <c r="R26" s="185"/>
      <c r="S26" s="185"/>
      <c r="T26" s="218"/>
    </row>
    <row r="27" ht="13.5" customHeight="1" spans="1:20">
      <c r="A27" s="171"/>
      <c r="B27" s="186" t="s">
        <v>257</v>
      </c>
      <c r="C27" s="186"/>
      <c r="D27" s="186"/>
      <c r="E27" s="187"/>
      <c r="F27" s="188" t="s">
        <v>258</v>
      </c>
      <c r="G27" s="188" t="s">
        <v>271</v>
      </c>
      <c r="H27" s="188" t="s">
        <v>271</v>
      </c>
      <c r="I27" s="188"/>
      <c r="J27" s="188"/>
      <c r="K27" s="188"/>
      <c r="L27" s="188"/>
      <c r="M27" s="188"/>
      <c r="N27" s="188"/>
      <c r="O27" s="188"/>
      <c r="P27" s="188"/>
      <c r="Q27" s="188"/>
      <c r="R27" s="188"/>
      <c r="S27" s="188"/>
      <c r="T27" s="219"/>
    </row>
    <row r="28" ht="13.5" customHeight="1" spans="1:20">
      <c r="A28" s="171"/>
      <c r="B28" s="189" t="s">
        <v>259</v>
      </c>
      <c r="C28" s="189"/>
      <c r="D28" s="189"/>
      <c r="E28" s="190"/>
      <c r="F28" s="191">
        <v>44165</v>
      </c>
      <c r="G28" s="191">
        <v>44165</v>
      </c>
      <c r="H28" s="191">
        <v>44165</v>
      </c>
      <c r="I28" s="191"/>
      <c r="J28" s="191"/>
      <c r="K28" s="191"/>
      <c r="L28" s="191"/>
      <c r="M28" s="191"/>
      <c r="N28" s="191"/>
      <c r="O28" s="191"/>
      <c r="P28" s="191"/>
      <c r="Q28" s="191"/>
      <c r="R28" s="191"/>
      <c r="S28" s="191"/>
      <c r="T28" s="220"/>
    </row>
    <row r="29" ht="13.95" spans="1:20">
      <c r="A29" s="192"/>
      <c r="B29" s="193" t="s">
        <v>260</v>
      </c>
      <c r="C29" s="193"/>
      <c r="D29" s="193"/>
      <c r="E29" s="194"/>
      <c r="F29" s="195"/>
      <c r="G29" s="195"/>
      <c r="H29" s="195"/>
      <c r="I29" s="195"/>
      <c r="J29" s="195"/>
      <c r="K29" s="195"/>
      <c r="L29" s="195"/>
      <c r="M29" s="195"/>
      <c r="N29" s="195"/>
      <c r="O29" s="195"/>
      <c r="P29" s="195"/>
      <c r="Q29" s="195"/>
      <c r="R29" s="195"/>
      <c r="S29" s="195"/>
      <c r="T29" s="221"/>
    </row>
    <row r="30" ht="13.95" spans="1:1">
      <c r="A30"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6:D26"/>
    <mergeCell ref="B27:D27"/>
    <mergeCell ref="B28:D28"/>
    <mergeCell ref="B29:D29"/>
  </mergeCells>
  <dataValidations count="3">
    <dataValidation type="list" allowBlank="1" showErrorMessage="1" sqref="F26:T26">
      <formula1>"N,A,B,"</formula1>
    </dataValidation>
    <dataValidation type="list" allowBlank="1" showErrorMessage="1" sqref="F27:T27">
      <formula1>"P,F,"</formula1>
    </dataValidation>
    <dataValidation type="list" allowBlank="1" showErrorMessage="1" sqref="F10:T25">
      <formula1>"O,"</formula1>
    </dataValidation>
  </dataValidations>
  <pageMargins left="0.7" right="0.7" top="0.75" bottom="0.75" header="0.3" footer="0.3"/>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1"/>
  <sheetViews>
    <sheetView workbookViewId="0">
      <selection activeCell="A1" sqref="A1"/>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38.1018518518519" style="116" customWidth="1"/>
    <col min="5" max="5" width="1.10185185185185" style="114" hidden="1" customWidth="1"/>
    <col min="6" max="21" width="2.76851851851852" style="114" customWidth="1"/>
    <col min="22" max="257" width="8.99074074074074" style="114"/>
  </cols>
  <sheetData>
    <row r="1" ht="13.5" customHeight="1" spans="1:2">
      <c r="A1" s="117"/>
      <c r="B1" s="118"/>
    </row>
    <row r="2" ht="13.5" customHeight="1" spans="1:22">
      <c r="A2" s="120" t="s">
        <v>207</v>
      </c>
      <c r="B2" s="120"/>
      <c r="C2" s="121" t="s">
        <v>286</v>
      </c>
      <c r="D2" s="121"/>
      <c r="E2" s="121"/>
      <c r="F2" s="122" t="s">
        <v>119</v>
      </c>
      <c r="G2" s="122"/>
      <c r="H2" s="122"/>
      <c r="I2" s="122"/>
      <c r="J2" s="122"/>
      <c r="K2" s="122"/>
      <c r="L2" s="197" t="s">
        <v>156</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9"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287</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COUNTIF(F98:HQ98,"P")</f>
        <v>9</v>
      </c>
      <c r="B7" s="131"/>
      <c r="C7" s="132">
        <f>COUNTIF(F98:HQ98,"F")</f>
        <v>1</v>
      </c>
      <c r="D7" s="132"/>
      <c r="E7" s="132"/>
      <c r="F7" s="132">
        <f>SUM(O7,-A7,-C7)</f>
        <v>0</v>
      </c>
      <c r="G7" s="132"/>
      <c r="H7" s="132"/>
      <c r="I7" s="132"/>
      <c r="J7" s="132"/>
      <c r="K7" s="132"/>
      <c r="L7" s="203">
        <f>COUNTIF(E97:HQ97,"N")</f>
        <v>10</v>
      </c>
      <c r="M7" s="203">
        <f>COUNTIF(E97:HQ97,"A")</f>
        <v>0</v>
      </c>
      <c r="N7" s="203">
        <f>COUNTIF(E97:HQ97,"B")</f>
        <v>0</v>
      </c>
      <c r="O7" s="204">
        <f>COUNTA(E9:HT9)</f>
        <v>10</v>
      </c>
      <c r="P7" s="204"/>
      <c r="Q7" s="204"/>
      <c r="R7" s="204"/>
      <c r="S7" s="204"/>
      <c r="T7" s="204"/>
      <c r="U7" s="208"/>
    </row>
    <row r="8" ht="13.95"/>
    <row r="9" ht="46.5" customHeight="1" spans="1:23">
      <c r="A9" s="133"/>
      <c r="B9" s="134"/>
      <c r="C9" s="135"/>
      <c r="D9" s="136"/>
      <c r="E9" s="135"/>
      <c r="F9" s="137" t="s">
        <v>216</v>
      </c>
      <c r="G9" s="137" t="s">
        <v>217</v>
      </c>
      <c r="H9" s="137" t="s">
        <v>218</v>
      </c>
      <c r="I9" s="137" t="s">
        <v>219</v>
      </c>
      <c r="J9" s="137" t="s">
        <v>220</v>
      </c>
      <c r="K9" s="137" t="s">
        <v>221</v>
      </c>
      <c r="L9" s="137" t="s">
        <v>222</v>
      </c>
      <c r="M9" s="137" t="s">
        <v>223</v>
      </c>
      <c r="N9" s="137" t="s">
        <v>224</v>
      </c>
      <c r="O9" s="137" t="s">
        <v>288</v>
      </c>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289</v>
      </c>
      <c r="E11" s="142"/>
      <c r="F11" s="148"/>
      <c r="G11" s="148"/>
      <c r="H11" s="148"/>
      <c r="I11" s="148"/>
      <c r="J11" s="148"/>
      <c r="K11" s="148"/>
      <c r="L11" s="148"/>
      <c r="M11" s="148"/>
      <c r="N11" s="148"/>
      <c r="O11" s="148"/>
      <c r="P11" s="148"/>
      <c r="Q11" s="148"/>
      <c r="R11" s="148"/>
      <c r="S11" s="148"/>
      <c r="T11" s="214"/>
      <c r="V11" s="206"/>
    </row>
    <row r="12" ht="13.5" customHeight="1" spans="1:22">
      <c r="A12" s="144"/>
      <c r="B12" s="145"/>
      <c r="C12" s="146"/>
      <c r="D12" s="147" t="s">
        <v>290</v>
      </c>
      <c r="E12" s="142"/>
      <c r="F12" s="148"/>
      <c r="G12" s="148"/>
      <c r="H12" s="148"/>
      <c r="I12" s="148"/>
      <c r="J12" s="148"/>
      <c r="K12" s="148"/>
      <c r="L12" s="148"/>
      <c r="M12" s="148"/>
      <c r="N12" s="148"/>
      <c r="O12" s="148"/>
      <c r="P12" s="148"/>
      <c r="Q12" s="148"/>
      <c r="R12" s="148"/>
      <c r="S12" s="148"/>
      <c r="T12" s="214"/>
      <c r="V12" s="206"/>
    </row>
    <row r="13" ht="13.5" customHeight="1" spans="1:22">
      <c r="A13" s="144"/>
      <c r="B13" s="145"/>
      <c r="C13" s="146"/>
      <c r="D13" s="147" t="s">
        <v>291</v>
      </c>
      <c r="E13" s="142"/>
      <c r="F13" s="148"/>
      <c r="G13" s="148"/>
      <c r="H13" s="148"/>
      <c r="I13" s="148"/>
      <c r="J13" s="148"/>
      <c r="K13" s="148"/>
      <c r="L13" s="148"/>
      <c r="M13" s="148"/>
      <c r="N13" s="148"/>
      <c r="O13" s="148"/>
      <c r="P13" s="148"/>
      <c r="Q13" s="148"/>
      <c r="R13" s="148"/>
      <c r="S13" s="148"/>
      <c r="T13" s="214"/>
      <c r="V13" s="206"/>
    </row>
    <row r="14" ht="13.5" customHeight="1" spans="1:22">
      <c r="A14" s="144"/>
      <c r="B14" s="145"/>
      <c r="C14" s="146"/>
      <c r="D14" s="147" t="s">
        <v>292</v>
      </c>
      <c r="E14" s="142"/>
      <c r="F14" s="148"/>
      <c r="G14" s="148"/>
      <c r="H14" s="148"/>
      <c r="I14" s="148"/>
      <c r="J14" s="148"/>
      <c r="K14" s="148"/>
      <c r="L14" s="148"/>
      <c r="M14" s="148"/>
      <c r="N14" s="148"/>
      <c r="O14" s="148"/>
      <c r="P14" s="148"/>
      <c r="Q14" s="148"/>
      <c r="R14" s="148"/>
      <c r="S14" s="148"/>
      <c r="T14" s="214"/>
      <c r="V14" s="206"/>
    </row>
    <row r="15" ht="13.5" customHeight="1" spans="1:22">
      <c r="A15" s="144"/>
      <c r="B15" s="145"/>
      <c r="C15" s="146"/>
      <c r="D15" s="147" t="s">
        <v>293</v>
      </c>
      <c r="E15" s="142"/>
      <c r="F15" s="148"/>
      <c r="G15" s="148"/>
      <c r="H15" s="148"/>
      <c r="I15" s="148"/>
      <c r="J15" s="148"/>
      <c r="K15" s="148"/>
      <c r="L15" s="148"/>
      <c r="M15" s="148"/>
      <c r="N15" s="148"/>
      <c r="O15" s="148"/>
      <c r="P15" s="148"/>
      <c r="Q15" s="148"/>
      <c r="R15" s="148"/>
      <c r="S15" s="148"/>
      <c r="T15" s="214"/>
      <c r="V15" s="206"/>
    </row>
    <row r="16" ht="13.5" customHeight="1" spans="1:20">
      <c r="A16" s="144"/>
      <c r="B16" s="145" t="s">
        <v>228</v>
      </c>
      <c r="C16" s="146"/>
      <c r="D16" s="147"/>
      <c r="E16" s="142"/>
      <c r="F16" s="148"/>
      <c r="G16" s="148"/>
      <c r="H16" s="148"/>
      <c r="I16" s="148"/>
      <c r="J16" s="148"/>
      <c r="K16" s="148"/>
      <c r="L16" s="148"/>
      <c r="M16" s="148"/>
      <c r="N16" s="148"/>
      <c r="O16" s="148"/>
      <c r="P16" s="148"/>
      <c r="Q16" s="148"/>
      <c r="R16" s="148"/>
      <c r="S16" s="148"/>
      <c r="T16" s="214"/>
    </row>
    <row r="17" ht="13.5" customHeight="1" spans="1:20">
      <c r="A17" s="144"/>
      <c r="B17" s="145"/>
      <c r="C17" s="149" t="s">
        <v>294</v>
      </c>
      <c r="D17" s="147"/>
      <c r="E17" s="150"/>
      <c r="F17" s="148"/>
      <c r="G17" s="148"/>
      <c r="H17" s="148"/>
      <c r="I17" s="148"/>
      <c r="J17" s="148"/>
      <c r="K17" s="148"/>
      <c r="L17" s="148"/>
      <c r="M17" s="148"/>
      <c r="N17" s="148"/>
      <c r="O17" s="148"/>
      <c r="P17" s="148"/>
      <c r="Q17" s="148"/>
      <c r="R17" s="148"/>
      <c r="S17" s="148"/>
      <c r="T17" s="214"/>
    </row>
    <row r="18" ht="13.5" customHeight="1" spans="1:20">
      <c r="A18" s="144"/>
      <c r="B18" s="145"/>
      <c r="C18" s="146"/>
      <c r="D18" s="147" t="s">
        <v>230</v>
      </c>
      <c r="E18" s="152"/>
      <c r="F18" s="148" t="s">
        <v>231</v>
      </c>
      <c r="G18" s="148"/>
      <c r="H18" s="148"/>
      <c r="I18" s="148"/>
      <c r="J18" s="148"/>
      <c r="K18" s="148"/>
      <c r="L18" s="148"/>
      <c r="M18" s="148"/>
      <c r="N18" s="148"/>
      <c r="O18" s="148"/>
      <c r="P18" s="148"/>
      <c r="Q18" s="148"/>
      <c r="R18" s="148"/>
      <c r="S18" s="148"/>
      <c r="T18" s="214"/>
    </row>
    <row r="19" ht="13.5" customHeight="1" spans="1:20">
      <c r="A19" s="144"/>
      <c r="B19" s="145"/>
      <c r="C19" s="146"/>
      <c r="D19" s="153" t="s">
        <v>295</v>
      </c>
      <c r="E19" s="152"/>
      <c r="F19" s="148"/>
      <c r="G19" s="148" t="s">
        <v>231</v>
      </c>
      <c r="H19" s="148"/>
      <c r="I19" s="148"/>
      <c r="J19" s="148"/>
      <c r="K19" s="148"/>
      <c r="L19" s="148"/>
      <c r="M19" s="148"/>
      <c r="N19" s="148"/>
      <c r="O19" s="148"/>
      <c r="P19" s="148"/>
      <c r="Q19" s="148"/>
      <c r="R19" s="148"/>
      <c r="S19" s="148"/>
      <c r="T19" s="214"/>
    </row>
    <row r="20" ht="13.5" customHeight="1" spans="1:20">
      <c r="A20" s="144"/>
      <c r="B20" s="145"/>
      <c r="C20" s="146"/>
      <c r="D20" s="153" t="s">
        <v>296</v>
      </c>
      <c r="E20" s="152"/>
      <c r="F20" s="148"/>
      <c r="G20" s="148"/>
      <c r="H20" s="148" t="s">
        <v>231</v>
      </c>
      <c r="I20" s="148"/>
      <c r="J20" s="148"/>
      <c r="K20" s="148"/>
      <c r="L20" s="148"/>
      <c r="M20" s="148"/>
      <c r="N20" s="148"/>
      <c r="O20" s="148"/>
      <c r="P20" s="148"/>
      <c r="Q20" s="148"/>
      <c r="R20" s="148"/>
      <c r="S20" s="148"/>
      <c r="T20" s="214"/>
    </row>
    <row r="21" ht="13.5" customHeight="1" spans="1:20">
      <c r="A21" s="144"/>
      <c r="B21" s="145"/>
      <c r="C21" s="146"/>
      <c r="D21" s="153" t="s">
        <v>297</v>
      </c>
      <c r="E21" s="152"/>
      <c r="F21" s="148"/>
      <c r="G21" s="148"/>
      <c r="H21" s="148"/>
      <c r="I21" s="148" t="s">
        <v>231</v>
      </c>
      <c r="J21" s="148"/>
      <c r="K21" s="148"/>
      <c r="L21" s="148"/>
      <c r="M21" s="148"/>
      <c r="N21" s="148"/>
      <c r="O21" s="148"/>
      <c r="P21" s="148"/>
      <c r="Q21" s="148"/>
      <c r="R21" s="148"/>
      <c r="S21" s="148"/>
      <c r="T21" s="214"/>
    </row>
    <row r="22" ht="13.5" customHeight="1" spans="1:20">
      <c r="A22" s="144"/>
      <c r="B22" s="145"/>
      <c r="C22" s="146"/>
      <c r="D22" s="153" t="s">
        <v>298</v>
      </c>
      <c r="E22" s="152"/>
      <c r="F22" s="148"/>
      <c r="G22" s="148"/>
      <c r="H22" s="148"/>
      <c r="I22" s="148"/>
      <c r="J22" s="148" t="s">
        <v>231</v>
      </c>
      <c r="K22" s="148"/>
      <c r="L22" s="148"/>
      <c r="M22" s="148"/>
      <c r="N22" s="148"/>
      <c r="O22" s="148"/>
      <c r="P22" s="148"/>
      <c r="Q22" s="148"/>
      <c r="R22" s="148"/>
      <c r="S22" s="148"/>
      <c r="T22" s="214"/>
    </row>
    <row r="23" ht="13.5" customHeight="1" spans="1:20">
      <c r="A23" s="144"/>
      <c r="B23" s="145"/>
      <c r="C23" s="146"/>
      <c r="D23" s="222" t="s">
        <v>299</v>
      </c>
      <c r="E23" s="152"/>
      <c r="F23" s="148"/>
      <c r="G23" s="148"/>
      <c r="H23" s="148"/>
      <c r="I23" s="148"/>
      <c r="J23" s="148"/>
      <c r="K23" s="148" t="s">
        <v>231</v>
      </c>
      <c r="L23" s="148"/>
      <c r="M23" s="148"/>
      <c r="N23" s="148"/>
      <c r="O23" s="148"/>
      <c r="P23" s="148"/>
      <c r="Q23" s="148"/>
      <c r="R23" s="148"/>
      <c r="S23" s="148"/>
      <c r="T23" s="214"/>
    </row>
    <row r="24" ht="13.5" customHeight="1" spans="1:20">
      <c r="A24" s="144"/>
      <c r="B24" s="145"/>
      <c r="C24" s="146"/>
      <c r="D24" s="223" t="s">
        <v>300</v>
      </c>
      <c r="E24" s="152"/>
      <c r="F24" s="148"/>
      <c r="G24" s="148"/>
      <c r="H24" s="148"/>
      <c r="I24" s="148"/>
      <c r="J24" s="148"/>
      <c r="K24" s="148"/>
      <c r="L24" s="148" t="s">
        <v>231</v>
      </c>
      <c r="M24" s="148"/>
      <c r="N24" s="148"/>
      <c r="O24" s="148"/>
      <c r="P24" s="148"/>
      <c r="Q24" s="148"/>
      <c r="R24" s="148"/>
      <c r="S24" s="148"/>
      <c r="T24" s="214"/>
    </row>
    <row r="25" ht="13.5" customHeight="1" spans="1:20">
      <c r="A25" s="144"/>
      <c r="B25" s="145"/>
      <c r="C25" s="146"/>
      <c r="D25" s="153" t="s">
        <v>301</v>
      </c>
      <c r="E25" s="152"/>
      <c r="F25" s="148"/>
      <c r="G25" s="148"/>
      <c r="H25" s="148"/>
      <c r="I25" s="148"/>
      <c r="J25" s="148"/>
      <c r="K25" s="148"/>
      <c r="L25" s="148"/>
      <c r="M25" s="148" t="s">
        <v>231</v>
      </c>
      <c r="N25" s="148"/>
      <c r="O25" s="148"/>
      <c r="P25" s="148"/>
      <c r="Q25" s="148"/>
      <c r="R25" s="148"/>
      <c r="S25" s="148"/>
      <c r="T25" s="214"/>
    </row>
    <row r="26" ht="13.5" customHeight="1" spans="1:20">
      <c r="A26" s="144"/>
      <c r="B26" s="145"/>
      <c r="C26" s="146"/>
      <c r="D26" s="154" t="s">
        <v>300</v>
      </c>
      <c r="E26" s="152"/>
      <c r="F26" s="148"/>
      <c r="G26" s="148"/>
      <c r="H26" s="148"/>
      <c r="I26" s="148"/>
      <c r="J26" s="148"/>
      <c r="K26" s="148"/>
      <c r="L26" s="148"/>
      <c r="M26" s="148"/>
      <c r="N26" s="148" t="s">
        <v>231</v>
      </c>
      <c r="O26" s="148"/>
      <c r="P26" s="148"/>
      <c r="Q26" s="148"/>
      <c r="R26" s="148"/>
      <c r="S26" s="148"/>
      <c r="T26" s="214"/>
    </row>
    <row r="27" ht="13.5" customHeight="1" spans="1:21">
      <c r="A27" s="144"/>
      <c r="B27" s="145"/>
      <c r="C27" s="146"/>
      <c r="D27" s="153" t="s">
        <v>302</v>
      </c>
      <c r="E27" s="152"/>
      <c r="F27" s="148"/>
      <c r="G27" s="148"/>
      <c r="H27" s="148"/>
      <c r="I27" s="148"/>
      <c r="J27" s="148"/>
      <c r="K27" s="148"/>
      <c r="L27" s="148"/>
      <c r="M27" s="148"/>
      <c r="N27" s="148"/>
      <c r="O27" s="148" t="s">
        <v>231</v>
      </c>
      <c r="P27" s="148"/>
      <c r="Q27" s="148"/>
      <c r="R27" s="148"/>
      <c r="S27" s="148"/>
      <c r="T27" s="214"/>
      <c r="U27" s="215"/>
    </row>
    <row r="28" ht="13.5" customHeight="1" spans="1:20">
      <c r="A28" s="144"/>
      <c r="B28" s="145"/>
      <c r="C28" s="149" t="s">
        <v>303</v>
      </c>
      <c r="D28" s="153"/>
      <c r="E28" s="152"/>
      <c r="F28" s="148"/>
      <c r="G28" s="148"/>
      <c r="H28" s="148"/>
      <c r="I28" s="148"/>
      <c r="J28" s="148"/>
      <c r="K28" s="148"/>
      <c r="L28" s="148"/>
      <c r="M28" s="148"/>
      <c r="N28" s="148"/>
      <c r="O28" s="148"/>
      <c r="P28" s="148"/>
      <c r="Q28" s="148"/>
      <c r="R28" s="148"/>
      <c r="S28" s="148"/>
      <c r="T28" s="214"/>
    </row>
    <row r="29" ht="13.5" customHeight="1" spans="1:20">
      <c r="A29" s="144"/>
      <c r="B29" s="145"/>
      <c r="C29" s="146"/>
      <c r="D29" s="153" t="s">
        <v>230</v>
      </c>
      <c r="E29" s="152"/>
      <c r="F29" s="148" t="s">
        <v>231</v>
      </c>
      <c r="G29" s="148"/>
      <c r="H29" s="148"/>
      <c r="I29" s="148"/>
      <c r="J29" s="148"/>
      <c r="K29" s="148"/>
      <c r="L29" s="148"/>
      <c r="M29" s="148"/>
      <c r="N29" s="148"/>
      <c r="O29" s="148"/>
      <c r="P29" s="148"/>
      <c r="Q29" s="148"/>
      <c r="R29" s="148"/>
      <c r="S29" s="148"/>
      <c r="T29" s="214"/>
    </row>
    <row r="30" ht="13.5" customHeight="1" spans="1:20">
      <c r="A30" s="144"/>
      <c r="B30" s="145"/>
      <c r="C30" s="146"/>
      <c r="D30" s="153" t="s">
        <v>304</v>
      </c>
      <c r="E30" s="152"/>
      <c r="F30" s="148"/>
      <c r="G30" s="148" t="s">
        <v>231</v>
      </c>
      <c r="H30" s="148"/>
      <c r="I30" s="148"/>
      <c r="J30" s="148"/>
      <c r="K30" s="148"/>
      <c r="L30" s="148"/>
      <c r="M30" s="148"/>
      <c r="N30" s="148"/>
      <c r="O30" s="148"/>
      <c r="P30" s="148"/>
      <c r="Q30" s="148"/>
      <c r="R30" s="148"/>
      <c r="S30" s="148"/>
      <c r="T30" s="214"/>
    </row>
    <row r="31" ht="13.5" customHeight="1" spans="1:20">
      <c r="A31" s="144"/>
      <c r="B31" s="145"/>
      <c r="C31" s="146"/>
      <c r="D31" s="153" t="s">
        <v>305</v>
      </c>
      <c r="E31" s="152"/>
      <c r="F31" s="148"/>
      <c r="G31" s="148"/>
      <c r="H31" s="148" t="s">
        <v>231</v>
      </c>
      <c r="I31" s="148"/>
      <c r="J31" s="148"/>
      <c r="K31" s="148"/>
      <c r="L31" s="148"/>
      <c r="M31" s="148"/>
      <c r="N31" s="148"/>
      <c r="O31" s="148"/>
      <c r="P31" s="148"/>
      <c r="Q31" s="148"/>
      <c r="R31" s="148"/>
      <c r="S31" s="148"/>
      <c r="T31" s="214"/>
    </row>
    <row r="32" ht="13.5" customHeight="1" spans="1:20">
      <c r="A32" s="144"/>
      <c r="B32" s="156"/>
      <c r="C32" s="157"/>
      <c r="D32" s="160" t="s">
        <v>306</v>
      </c>
      <c r="E32" s="152"/>
      <c r="F32" s="159"/>
      <c r="G32" s="159"/>
      <c r="H32" s="159"/>
      <c r="I32" s="159" t="s">
        <v>231</v>
      </c>
      <c r="J32" s="159"/>
      <c r="K32" s="159"/>
      <c r="L32" s="159"/>
      <c r="M32" s="159"/>
      <c r="N32" s="159"/>
      <c r="O32" s="159"/>
      <c r="P32" s="159"/>
      <c r="Q32" s="159"/>
      <c r="R32" s="159"/>
      <c r="S32" s="159"/>
      <c r="T32" s="216"/>
    </row>
    <row r="33" ht="13.5" customHeight="1" spans="1:20">
      <c r="A33" s="144"/>
      <c r="B33" s="156"/>
      <c r="C33" s="157"/>
      <c r="D33" s="160" t="s">
        <v>307</v>
      </c>
      <c r="E33" s="152"/>
      <c r="F33" s="159"/>
      <c r="G33" s="159"/>
      <c r="H33" s="159"/>
      <c r="I33" s="159"/>
      <c r="J33" s="159" t="s">
        <v>231</v>
      </c>
      <c r="K33" s="159"/>
      <c r="L33" s="159"/>
      <c r="M33" s="159"/>
      <c r="N33" s="159"/>
      <c r="O33" s="159"/>
      <c r="P33" s="159"/>
      <c r="Q33" s="159"/>
      <c r="R33" s="159"/>
      <c r="S33" s="159"/>
      <c r="T33" s="216"/>
    </row>
    <row r="34" ht="13.5" customHeight="1" spans="1:20">
      <c r="A34" s="144"/>
      <c r="B34" s="156"/>
      <c r="C34" s="157"/>
      <c r="D34" s="160" t="s">
        <v>308</v>
      </c>
      <c r="E34" s="152"/>
      <c r="F34" s="159"/>
      <c r="G34" s="159"/>
      <c r="H34" s="159"/>
      <c r="I34" s="159"/>
      <c r="J34" s="159"/>
      <c r="K34" s="159" t="s">
        <v>231</v>
      </c>
      <c r="L34" s="159"/>
      <c r="M34" s="159"/>
      <c r="N34" s="159"/>
      <c r="O34" s="159"/>
      <c r="P34" s="159"/>
      <c r="Q34" s="159"/>
      <c r="R34" s="159"/>
      <c r="S34" s="159"/>
      <c r="T34" s="216"/>
    </row>
    <row r="35" ht="13.5" customHeight="1" spans="1:20">
      <c r="A35" s="144"/>
      <c r="B35" s="156"/>
      <c r="C35" s="157"/>
      <c r="D35" s="160" t="s">
        <v>309</v>
      </c>
      <c r="E35" s="152"/>
      <c r="F35" s="159"/>
      <c r="G35" s="159"/>
      <c r="H35" s="159"/>
      <c r="I35" s="159"/>
      <c r="J35" s="159"/>
      <c r="K35" s="159"/>
      <c r="L35" s="159" t="s">
        <v>231</v>
      </c>
      <c r="M35" s="159"/>
      <c r="N35" s="159"/>
      <c r="O35" s="159"/>
      <c r="P35" s="159"/>
      <c r="Q35" s="159"/>
      <c r="R35" s="159"/>
      <c r="S35" s="159"/>
      <c r="T35" s="216"/>
    </row>
    <row r="36" ht="13.5" customHeight="1" spans="1:20">
      <c r="A36" s="144"/>
      <c r="B36" s="156"/>
      <c r="C36" s="157"/>
      <c r="D36" s="160" t="s">
        <v>301</v>
      </c>
      <c r="E36" s="152"/>
      <c r="F36" s="159"/>
      <c r="G36" s="159"/>
      <c r="H36" s="159"/>
      <c r="I36" s="159"/>
      <c r="J36" s="159"/>
      <c r="K36" s="159"/>
      <c r="L36" s="159"/>
      <c r="M36" s="159" t="s">
        <v>231</v>
      </c>
      <c r="N36" s="159"/>
      <c r="O36" s="159"/>
      <c r="P36" s="159"/>
      <c r="Q36" s="159"/>
      <c r="R36" s="159"/>
      <c r="S36" s="159"/>
      <c r="T36" s="216"/>
    </row>
    <row r="37" ht="13.5" customHeight="1" spans="1:20">
      <c r="A37" s="144"/>
      <c r="B37" s="156"/>
      <c r="C37" s="157"/>
      <c r="D37" s="160" t="s">
        <v>310</v>
      </c>
      <c r="E37" s="152"/>
      <c r="F37" s="159"/>
      <c r="G37" s="159"/>
      <c r="H37" s="159"/>
      <c r="I37" s="159"/>
      <c r="J37" s="159"/>
      <c r="K37" s="159"/>
      <c r="L37" s="159"/>
      <c r="M37" s="159"/>
      <c r="N37" s="159" t="s">
        <v>231</v>
      </c>
      <c r="O37" s="159"/>
      <c r="P37" s="159"/>
      <c r="Q37" s="159"/>
      <c r="R37" s="159"/>
      <c r="S37" s="159"/>
      <c r="T37" s="216"/>
    </row>
    <row r="38" ht="13.5" customHeight="1" spans="1:20">
      <c r="A38" s="144"/>
      <c r="B38" s="156"/>
      <c r="C38" s="157"/>
      <c r="D38" s="158" t="s">
        <v>311</v>
      </c>
      <c r="E38" s="152"/>
      <c r="F38" s="159"/>
      <c r="G38" s="159"/>
      <c r="H38" s="159"/>
      <c r="I38" s="159"/>
      <c r="J38" s="159"/>
      <c r="K38" s="159"/>
      <c r="L38" s="159"/>
      <c r="M38" s="159"/>
      <c r="N38" s="159"/>
      <c r="O38" s="159" t="s">
        <v>231</v>
      </c>
      <c r="P38" s="159"/>
      <c r="Q38" s="159"/>
      <c r="R38" s="159"/>
      <c r="S38" s="159"/>
      <c r="T38" s="216"/>
    </row>
    <row r="39" ht="13.5" customHeight="1" spans="1:20">
      <c r="A39" s="144"/>
      <c r="B39" s="156"/>
      <c r="C39" s="157" t="s">
        <v>312</v>
      </c>
      <c r="D39" s="160"/>
      <c r="E39" s="152"/>
      <c r="F39" s="159"/>
      <c r="G39" s="159"/>
      <c r="H39" s="159"/>
      <c r="I39" s="159"/>
      <c r="J39" s="159"/>
      <c r="K39" s="159"/>
      <c r="L39" s="159"/>
      <c r="M39" s="159"/>
      <c r="N39" s="159"/>
      <c r="O39" s="159"/>
      <c r="P39" s="159"/>
      <c r="Q39" s="159"/>
      <c r="R39" s="159"/>
      <c r="S39" s="159"/>
      <c r="T39" s="216"/>
    </row>
    <row r="40" ht="13.5" customHeight="1" spans="1:20">
      <c r="A40" s="144"/>
      <c r="B40" s="156"/>
      <c r="C40" s="157"/>
      <c r="D40" s="160" t="s">
        <v>230</v>
      </c>
      <c r="E40" s="152"/>
      <c r="F40" s="159" t="s">
        <v>231</v>
      </c>
      <c r="G40" s="159"/>
      <c r="H40" s="159"/>
      <c r="I40" s="159"/>
      <c r="J40" s="159"/>
      <c r="K40" s="159"/>
      <c r="L40" s="159"/>
      <c r="M40" s="159"/>
      <c r="N40" s="159"/>
      <c r="O40" s="159"/>
      <c r="P40" s="159"/>
      <c r="Q40" s="159"/>
      <c r="R40" s="159"/>
      <c r="S40" s="159"/>
      <c r="T40" s="216"/>
    </row>
    <row r="41" ht="13.5" customHeight="1" spans="1:20">
      <c r="A41" s="144"/>
      <c r="B41" s="156"/>
      <c r="C41" s="157"/>
      <c r="D41" s="160" t="s">
        <v>313</v>
      </c>
      <c r="E41" s="152"/>
      <c r="F41" s="159"/>
      <c r="G41" s="159" t="s">
        <v>231</v>
      </c>
      <c r="H41" s="159"/>
      <c r="I41" s="159"/>
      <c r="J41" s="159"/>
      <c r="K41" s="159"/>
      <c r="L41" s="159"/>
      <c r="M41" s="159"/>
      <c r="N41" s="159"/>
      <c r="O41" s="159"/>
      <c r="P41" s="159"/>
      <c r="Q41" s="159"/>
      <c r="R41" s="159"/>
      <c r="S41" s="159"/>
      <c r="T41" s="216"/>
    </row>
    <row r="42" ht="13.5" customHeight="1" spans="1:20">
      <c r="A42" s="144"/>
      <c r="B42" s="156"/>
      <c r="C42" s="157"/>
      <c r="D42" s="158" t="s">
        <v>314</v>
      </c>
      <c r="E42" s="152"/>
      <c r="F42" s="159"/>
      <c r="G42" s="159"/>
      <c r="H42" s="159" t="s">
        <v>231</v>
      </c>
      <c r="I42" s="159"/>
      <c r="J42" s="159"/>
      <c r="K42" s="159"/>
      <c r="L42" s="159"/>
      <c r="M42" s="159"/>
      <c r="N42" s="159"/>
      <c r="O42" s="159"/>
      <c r="P42" s="159"/>
      <c r="Q42" s="159"/>
      <c r="R42" s="159"/>
      <c r="S42" s="159"/>
      <c r="T42" s="216"/>
    </row>
    <row r="43" ht="13.5" customHeight="1" spans="1:20">
      <c r="A43" s="144"/>
      <c r="B43" s="156"/>
      <c r="C43" s="157"/>
      <c r="D43" s="158" t="s">
        <v>315</v>
      </c>
      <c r="E43" s="152"/>
      <c r="F43" s="159"/>
      <c r="G43" s="159"/>
      <c r="H43" s="159"/>
      <c r="I43" s="159" t="s">
        <v>231</v>
      </c>
      <c r="J43" s="159"/>
      <c r="K43" s="159"/>
      <c r="L43" s="159"/>
      <c r="M43" s="159"/>
      <c r="N43" s="159"/>
      <c r="O43" s="159"/>
      <c r="P43" s="159"/>
      <c r="Q43" s="159"/>
      <c r="R43" s="159"/>
      <c r="S43" s="159"/>
      <c r="T43" s="216"/>
    </row>
    <row r="44" ht="13.5" customHeight="1" spans="1:20">
      <c r="A44" s="144"/>
      <c r="B44" s="156"/>
      <c r="C44" s="157"/>
      <c r="D44" s="158" t="s">
        <v>316</v>
      </c>
      <c r="E44" s="152"/>
      <c r="F44" s="159"/>
      <c r="G44" s="159"/>
      <c r="H44" s="159"/>
      <c r="I44" s="159"/>
      <c r="J44" s="159" t="s">
        <v>231</v>
      </c>
      <c r="K44" s="159"/>
      <c r="L44" s="159"/>
      <c r="M44" s="159"/>
      <c r="N44" s="159"/>
      <c r="O44" s="159"/>
      <c r="P44" s="159"/>
      <c r="Q44" s="159"/>
      <c r="R44" s="159"/>
      <c r="S44" s="159"/>
      <c r="T44" s="216"/>
    </row>
    <row r="45" ht="13.5" customHeight="1" spans="1:20">
      <c r="A45" s="144"/>
      <c r="B45" s="156"/>
      <c r="C45" s="157"/>
      <c r="D45" s="158" t="s">
        <v>317</v>
      </c>
      <c r="E45" s="152"/>
      <c r="F45" s="159"/>
      <c r="G45" s="159"/>
      <c r="H45" s="159"/>
      <c r="I45" s="159"/>
      <c r="J45" s="159"/>
      <c r="K45" s="159" t="s">
        <v>231</v>
      </c>
      <c r="L45" s="159"/>
      <c r="M45" s="159"/>
      <c r="N45" s="159"/>
      <c r="O45" s="159"/>
      <c r="P45" s="159"/>
      <c r="Q45" s="159"/>
      <c r="R45" s="159"/>
      <c r="S45" s="159"/>
      <c r="T45" s="216"/>
    </row>
    <row r="46" ht="13.5" customHeight="1" spans="1:20">
      <c r="A46" s="144"/>
      <c r="B46" s="156"/>
      <c r="C46" s="157"/>
      <c r="D46" s="158" t="s">
        <v>318</v>
      </c>
      <c r="E46" s="152"/>
      <c r="F46" s="159"/>
      <c r="G46" s="159"/>
      <c r="H46" s="159"/>
      <c r="I46" s="159"/>
      <c r="J46" s="159"/>
      <c r="K46" s="159"/>
      <c r="L46" s="159" t="s">
        <v>231</v>
      </c>
      <c r="M46" s="159"/>
      <c r="N46" s="159"/>
      <c r="O46" s="159"/>
      <c r="P46" s="159"/>
      <c r="Q46" s="159"/>
      <c r="R46" s="159"/>
      <c r="S46" s="159"/>
      <c r="T46" s="216"/>
    </row>
    <row r="47" ht="13.5" customHeight="1" spans="1:20">
      <c r="A47" s="144"/>
      <c r="B47" s="156"/>
      <c r="C47" s="157"/>
      <c r="D47" s="158" t="s">
        <v>319</v>
      </c>
      <c r="E47" s="152"/>
      <c r="F47" s="159"/>
      <c r="G47" s="159"/>
      <c r="H47" s="159"/>
      <c r="I47" s="159"/>
      <c r="J47" s="159"/>
      <c r="K47" s="159"/>
      <c r="L47" s="159"/>
      <c r="M47" s="159" t="s">
        <v>231</v>
      </c>
      <c r="N47" s="159"/>
      <c r="O47" s="159"/>
      <c r="P47" s="159"/>
      <c r="Q47" s="159"/>
      <c r="R47" s="159"/>
      <c r="S47" s="159"/>
      <c r="T47" s="216"/>
    </row>
    <row r="48" ht="13.5" customHeight="1" spans="1:20">
      <c r="A48" s="144"/>
      <c r="B48" s="156"/>
      <c r="C48" s="157"/>
      <c r="D48" s="158" t="s">
        <v>320</v>
      </c>
      <c r="E48" s="152"/>
      <c r="F48" s="159"/>
      <c r="G48" s="159"/>
      <c r="H48" s="159"/>
      <c r="I48" s="159"/>
      <c r="J48" s="159"/>
      <c r="K48" s="159"/>
      <c r="L48" s="159"/>
      <c r="M48" s="159"/>
      <c r="N48" s="159" t="s">
        <v>231</v>
      </c>
      <c r="O48" s="159"/>
      <c r="P48" s="159"/>
      <c r="Q48" s="159"/>
      <c r="R48" s="159"/>
      <c r="S48" s="159"/>
      <c r="T48" s="216"/>
    </row>
    <row r="49" ht="13.5" customHeight="1" spans="1:20">
      <c r="A49" s="144"/>
      <c r="B49" s="156"/>
      <c r="C49" s="157"/>
      <c r="D49" s="158" t="s">
        <v>321</v>
      </c>
      <c r="E49" s="152"/>
      <c r="F49" s="159"/>
      <c r="G49" s="159"/>
      <c r="H49" s="159"/>
      <c r="I49" s="159"/>
      <c r="J49" s="159"/>
      <c r="K49" s="159"/>
      <c r="L49" s="159"/>
      <c r="M49" s="159"/>
      <c r="N49" s="159"/>
      <c r="O49" s="159" t="s">
        <v>231</v>
      </c>
      <c r="P49" s="159"/>
      <c r="Q49" s="159"/>
      <c r="R49" s="159"/>
      <c r="S49" s="159"/>
      <c r="T49" s="216"/>
    </row>
    <row r="50" ht="13.5" customHeight="1" spans="1:20">
      <c r="A50" s="144"/>
      <c r="B50" s="156"/>
      <c r="C50" s="157" t="s">
        <v>322</v>
      </c>
      <c r="D50" s="224"/>
      <c r="E50" s="152"/>
      <c r="F50" s="159"/>
      <c r="G50" s="159"/>
      <c r="H50" s="159"/>
      <c r="I50" s="159"/>
      <c r="J50" s="159"/>
      <c r="K50" s="159"/>
      <c r="L50" s="159"/>
      <c r="M50" s="159"/>
      <c r="N50" s="159"/>
      <c r="O50" s="159"/>
      <c r="P50" s="159"/>
      <c r="Q50" s="159"/>
      <c r="R50" s="159"/>
      <c r="S50" s="159"/>
      <c r="T50" s="216"/>
    </row>
    <row r="51" ht="13.5" customHeight="1" spans="1:20">
      <c r="A51" s="144"/>
      <c r="B51" s="156"/>
      <c r="C51" s="157"/>
      <c r="D51" s="224" t="s">
        <v>323</v>
      </c>
      <c r="E51" s="152"/>
      <c r="F51" s="159" t="s">
        <v>231</v>
      </c>
      <c r="G51" s="159"/>
      <c r="H51" s="159"/>
      <c r="I51" s="159"/>
      <c r="J51" s="159"/>
      <c r="K51" s="159"/>
      <c r="L51" s="159"/>
      <c r="M51" s="159"/>
      <c r="N51" s="159"/>
      <c r="O51" s="159"/>
      <c r="P51" s="159"/>
      <c r="Q51" s="159"/>
      <c r="R51" s="159"/>
      <c r="S51" s="159"/>
      <c r="T51" s="216"/>
    </row>
    <row r="52" ht="13.5" customHeight="1" spans="1:20">
      <c r="A52" s="144"/>
      <c r="B52" s="156"/>
      <c r="C52" s="157"/>
      <c r="D52" s="224" t="s">
        <v>324</v>
      </c>
      <c r="E52" s="152"/>
      <c r="F52" s="159"/>
      <c r="G52" s="159" t="s">
        <v>231</v>
      </c>
      <c r="H52" s="159"/>
      <c r="I52" s="159"/>
      <c r="J52" s="159"/>
      <c r="K52" s="159"/>
      <c r="L52" s="159"/>
      <c r="M52" s="159"/>
      <c r="N52" s="159"/>
      <c r="O52" s="159"/>
      <c r="P52" s="159"/>
      <c r="Q52" s="159"/>
      <c r="R52" s="159"/>
      <c r="S52" s="159"/>
      <c r="T52" s="216"/>
    </row>
    <row r="53" ht="13.5" customHeight="1" spans="1:20">
      <c r="A53" s="144"/>
      <c r="B53" s="156"/>
      <c r="C53" s="157"/>
      <c r="D53" s="224" t="s">
        <v>325</v>
      </c>
      <c r="E53" s="152"/>
      <c r="F53" s="159"/>
      <c r="G53" s="159"/>
      <c r="H53" s="159" t="s">
        <v>231</v>
      </c>
      <c r="I53" s="159"/>
      <c r="J53" s="159"/>
      <c r="K53" s="159"/>
      <c r="L53" s="159"/>
      <c r="M53" s="159"/>
      <c r="N53" s="159"/>
      <c r="O53" s="159"/>
      <c r="P53" s="159"/>
      <c r="Q53" s="159"/>
      <c r="R53" s="159"/>
      <c r="S53" s="159"/>
      <c r="T53" s="216"/>
    </row>
    <row r="54" ht="13.5" customHeight="1" spans="1:20">
      <c r="A54" s="144"/>
      <c r="B54" s="156"/>
      <c r="C54" s="157"/>
      <c r="D54" s="158" t="s">
        <v>230</v>
      </c>
      <c r="E54" s="152"/>
      <c r="F54" s="159"/>
      <c r="G54" s="159"/>
      <c r="H54" s="159"/>
      <c r="I54" s="159" t="s">
        <v>231</v>
      </c>
      <c r="J54" s="159"/>
      <c r="K54" s="159"/>
      <c r="L54" s="159"/>
      <c r="M54" s="159"/>
      <c r="N54" s="159"/>
      <c r="O54" s="159"/>
      <c r="P54" s="159"/>
      <c r="Q54" s="159"/>
      <c r="R54" s="159"/>
      <c r="S54" s="159"/>
      <c r="T54" s="216"/>
    </row>
    <row r="55" ht="13.5" customHeight="1" spans="1:20">
      <c r="A55" s="144"/>
      <c r="B55" s="156"/>
      <c r="C55" s="157"/>
      <c r="D55" s="158" t="s">
        <v>326</v>
      </c>
      <c r="E55" s="152"/>
      <c r="F55" s="159"/>
      <c r="G55" s="159"/>
      <c r="H55" s="159"/>
      <c r="I55" s="159"/>
      <c r="J55" s="159" t="s">
        <v>231</v>
      </c>
      <c r="K55" s="159"/>
      <c r="L55" s="159"/>
      <c r="M55" s="159"/>
      <c r="N55" s="159"/>
      <c r="O55" s="159"/>
      <c r="P55" s="159"/>
      <c r="Q55" s="159"/>
      <c r="R55" s="159"/>
      <c r="S55" s="159"/>
      <c r="T55" s="216"/>
    </row>
    <row r="56" ht="13.5" customHeight="1" spans="1:20">
      <c r="A56" s="144"/>
      <c r="B56" s="156"/>
      <c r="C56" s="157"/>
      <c r="D56" s="158" t="s">
        <v>327</v>
      </c>
      <c r="E56" s="152"/>
      <c r="F56" s="159"/>
      <c r="G56" s="159"/>
      <c r="H56" s="159"/>
      <c r="I56" s="159"/>
      <c r="J56" s="159"/>
      <c r="K56" s="159" t="s">
        <v>231</v>
      </c>
      <c r="L56" s="159"/>
      <c r="M56" s="159"/>
      <c r="N56" s="159"/>
      <c r="O56" s="159"/>
      <c r="P56" s="159"/>
      <c r="Q56" s="159"/>
      <c r="R56" s="159"/>
      <c r="S56" s="159"/>
      <c r="T56" s="216"/>
    </row>
    <row r="57" ht="13.5" customHeight="1" spans="1:20">
      <c r="A57" s="144"/>
      <c r="B57" s="156"/>
      <c r="C57" s="157"/>
      <c r="D57" s="158" t="s">
        <v>328</v>
      </c>
      <c r="E57" s="152"/>
      <c r="F57" s="159"/>
      <c r="G57" s="159"/>
      <c r="H57" s="159"/>
      <c r="I57" s="159"/>
      <c r="J57" s="159"/>
      <c r="K57" s="159"/>
      <c r="L57" s="159" t="s">
        <v>231</v>
      </c>
      <c r="M57" s="159"/>
      <c r="N57" s="159"/>
      <c r="O57" s="159"/>
      <c r="P57" s="159"/>
      <c r="Q57" s="159"/>
      <c r="R57" s="159"/>
      <c r="S57" s="159"/>
      <c r="T57" s="216"/>
    </row>
    <row r="58" ht="13.5" customHeight="1" spans="1:20">
      <c r="A58" s="144"/>
      <c r="B58" s="156"/>
      <c r="C58" s="157"/>
      <c r="D58" s="158" t="s">
        <v>329</v>
      </c>
      <c r="E58" s="152"/>
      <c r="F58" s="159"/>
      <c r="G58" s="159"/>
      <c r="H58" s="159"/>
      <c r="I58" s="159"/>
      <c r="J58" s="159"/>
      <c r="K58" s="159"/>
      <c r="L58" s="159"/>
      <c r="M58" s="159" t="s">
        <v>231</v>
      </c>
      <c r="N58" s="159"/>
      <c r="O58" s="159"/>
      <c r="P58" s="159"/>
      <c r="Q58" s="159"/>
      <c r="R58" s="159"/>
      <c r="S58" s="159"/>
      <c r="T58" s="216"/>
    </row>
    <row r="59" ht="13.5" customHeight="1" spans="1:20">
      <c r="A59" s="144"/>
      <c r="B59" s="156"/>
      <c r="C59" s="157"/>
      <c r="D59" s="158" t="s">
        <v>330</v>
      </c>
      <c r="E59" s="152"/>
      <c r="F59" s="159"/>
      <c r="G59" s="159"/>
      <c r="H59" s="159"/>
      <c r="I59" s="159"/>
      <c r="J59" s="159"/>
      <c r="K59" s="159"/>
      <c r="L59" s="159"/>
      <c r="M59" s="159"/>
      <c r="N59" s="159" t="s">
        <v>231</v>
      </c>
      <c r="O59" s="159"/>
      <c r="P59" s="159"/>
      <c r="Q59" s="159"/>
      <c r="R59" s="159"/>
      <c r="S59" s="159"/>
      <c r="T59" s="216"/>
    </row>
    <row r="60" ht="13.5" customHeight="1" spans="1:20">
      <c r="A60" s="144"/>
      <c r="B60" s="156"/>
      <c r="C60" s="157"/>
      <c r="D60" s="158" t="s">
        <v>331</v>
      </c>
      <c r="E60" s="152"/>
      <c r="F60" s="159"/>
      <c r="G60" s="159"/>
      <c r="H60" s="159"/>
      <c r="I60" s="159"/>
      <c r="J60" s="159"/>
      <c r="K60" s="159"/>
      <c r="L60" s="159"/>
      <c r="M60" s="159"/>
      <c r="N60" s="159"/>
      <c r="O60" s="159" t="s">
        <v>231</v>
      </c>
      <c r="P60" s="159"/>
      <c r="Q60" s="159"/>
      <c r="R60" s="159"/>
      <c r="S60" s="159"/>
      <c r="T60" s="216"/>
    </row>
    <row r="61" ht="13.5" customHeight="1" spans="1:20">
      <c r="A61" s="144"/>
      <c r="B61" s="156"/>
      <c r="C61" s="157" t="s">
        <v>332</v>
      </c>
      <c r="D61" s="158"/>
      <c r="E61" s="152"/>
      <c r="F61" s="159"/>
      <c r="G61" s="159"/>
      <c r="H61" s="159"/>
      <c r="I61" s="159"/>
      <c r="J61" s="159"/>
      <c r="K61" s="159"/>
      <c r="L61" s="159"/>
      <c r="M61" s="159"/>
      <c r="N61" s="159"/>
      <c r="O61" s="159"/>
      <c r="P61" s="159"/>
      <c r="Q61" s="159"/>
      <c r="R61" s="159"/>
      <c r="S61" s="159"/>
      <c r="T61" s="216"/>
    </row>
    <row r="62" ht="13.5" customHeight="1" spans="1:20">
      <c r="A62" s="144"/>
      <c r="B62" s="156"/>
      <c r="C62" s="157"/>
      <c r="D62" s="158" t="s">
        <v>230</v>
      </c>
      <c r="E62" s="152"/>
      <c r="F62" s="159" t="s">
        <v>231</v>
      </c>
      <c r="G62" s="159"/>
      <c r="H62" s="159"/>
      <c r="I62" s="159"/>
      <c r="J62" s="159"/>
      <c r="K62" s="159"/>
      <c r="L62" s="159"/>
      <c r="M62" s="159"/>
      <c r="N62" s="159"/>
      <c r="O62" s="159"/>
      <c r="P62" s="159"/>
      <c r="Q62" s="159"/>
      <c r="R62" s="159"/>
      <c r="S62" s="159"/>
      <c r="T62" s="216"/>
    </row>
    <row r="63" ht="13.5" customHeight="1" spans="1:20">
      <c r="A63" s="144"/>
      <c r="B63" s="156"/>
      <c r="C63" s="157"/>
      <c r="D63" s="158" t="s">
        <v>333</v>
      </c>
      <c r="E63" s="152"/>
      <c r="F63" s="159"/>
      <c r="G63" s="159" t="s">
        <v>231</v>
      </c>
      <c r="H63" s="159"/>
      <c r="I63" s="159"/>
      <c r="J63" s="159"/>
      <c r="K63" s="159"/>
      <c r="L63" s="159"/>
      <c r="M63" s="159"/>
      <c r="N63" s="159"/>
      <c r="O63" s="159"/>
      <c r="P63" s="159"/>
      <c r="Q63" s="159"/>
      <c r="R63" s="159"/>
      <c r="S63" s="159"/>
      <c r="T63" s="216"/>
    </row>
    <row r="64" ht="13.5" customHeight="1" spans="1:20">
      <c r="A64" s="144"/>
      <c r="B64" s="156"/>
      <c r="C64" s="157"/>
      <c r="D64" s="158" t="s">
        <v>334</v>
      </c>
      <c r="E64" s="152"/>
      <c r="F64" s="159"/>
      <c r="G64" s="159"/>
      <c r="H64" s="159" t="s">
        <v>231</v>
      </c>
      <c r="I64" s="159"/>
      <c r="J64" s="159"/>
      <c r="K64" s="159"/>
      <c r="L64" s="159"/>
      <c r="M64" s="159"/>
      <c r="N64" s="159"/>
      <c r="O64" s="159"/>
      <c r="P64" s="159"/>
      <c r="Q64" s="159"/>
      <c r="R64" s="159"/>
      <c r="S64" s="159"/>
      <c r="T64" s="216"/>
    </row>
    <row r="65" ht="13.5" customHeight="1" spans="1:20">
      <c r="A65" s="144"/>
      <c r="B65" s="156"/>
      <c r="C65" s="157"/>
      <c r="D65" s="158" t="s">
        <v>335</v>
      </c>
      <c r="E65" s="152"/>
      <c r="F65" s="159"/>
      <c r="G65" s="159"/>
      <c r="H65" s="159"/>
      <c r="I65" s="159" t="s">
        <v>231</v>
      </c>
      <c r="J65" s="159"/>
      <c r="K65" s="159"/>
      <c r="L65" s="159"/>
      <c r="M65" s="159"/>
      <c r="N65" s="159"/>
      <c r="O65" s="159"/>
      <c r="P65" s="159"/>
      <c r="Q65" s="159"/>
      <c r="R65" s="159"/>
      <c r="S65" s="159"/>
      <c r="T65" s="216"/>
    </row>
    <row r="66" ht="13.5" customHeight="1" spans="1:20">
      <c r="A66" s="144"/>
      <c r="B66" s="156"/>
      <c r="C66" s="157"/>
      <c r="D66" s="158" t="s">
        <v>335</v>
      </c>
      <c r="E66" s="152"/>
      <c r="F66" s="159"/>
      <c r="G66" s="159"/>
      <c r="H66" s="159"/>
      <c r="I66" s="159"/>
      <c r="J66" s="159" t="s">
        <v>231</v>
      </c>
      <c r="K66" s="159"/>
      <c r="L66" s="159"/>
      <c r="M66" s="159"/>
      <c r="N66" s="159"/>
      <c r="O66" s="159"/>
      <c r="P66" s="159"/>
      <c r="Q66" s="159"/>
      <c r="R66" s="159"/>
      <c r="S66" s="159"/>
      <c r="T66" s="216"/>
    </row>
    <row r="67" ht="13.5" customHeight="1" spans="1:20">
      <c r="A67" s="144"/>
      <c r="B67" s="156"/>
      <c r="C67" s="157"/>
      <c r="D67" s="158" t="s">
        <v>335</v>
      </c>
      <c r="E67" s="152"/>
      <c r="F67" s="159"/>
      <c r="G67" s="159"/>
      <c r="H67" s="159"/>
      <c r="I67" s="159"/>
      <c r="J67" s="159"/>
      <c r="K67" s="159" t="s">
        <v>231</v>
      </c>
      <c r="L67" s="159"/>
      <c r="M67" s="159"/>
      <c r="N67" s="159"/>
      <c r="O67" s="159"/>
      <c r="P67" s="159"/>
      <c r="Q67" s="159"/>
      <c r="R67" s="159"/>
      <c r="S67" s="159"/>
      <c r="T67" s="216"/>
    </row>
    <row r="68" ht="13.5" customHeight="1" spans="1:20">
      <c r="A68" s="144"/>
      <c r="B68" s="156"/>
      <c r="C68" s="157"/>
      <c r="D68" s="158" t="s">
        <v>335</v>
      </c>
      <c r="E68" s="152"/>
      <c r="F68" s="159"/>
      <c r="G68" s="159"/>
      <c r="H68" s="159"/>
      <c r="I68" s="159"/>
      <c r="J68" s="159"/>
      <c r="K68" s="159"/>
      <c r="L68" s="159" t="s">
        <v>231</v>
      </c>
      <c r="M68" s="159"/>
      <c r="N68" s="159"/>
      <c r="O68" s="159"/>
      <c r="P68" s="159"/>
      <c r="Q68" s="159"/>
      <c r="R68" s="159"/>
      <c r="S68" s="159"/>
      <c r="T68" s="216"/>
    </row>
    <row r="69" ht="13.5" customHeight="1" spans="1:20">
      <c r="A69" s="144"/>
      <c r="B69" s="156"/>
      <c r="C69" s="157"/>
      <c r="D69" s="158" t="s">
        <v>336</v>
      </c>
      <c r="E69" s="152"/>
      <c r="F69" s="159"/>
      <c r="G69" s="159"/>
      <c r="H69" s="159"/>
      <c r="I69" s="159"/>
      <c r="J69" s="159"/>
      <c r="K69" s="159"/>
      <c r="L69" s="159"/>
      <c r="M69" s="159" t="s">
        <v>231</v>
      </c>
      <c r="N69" s="159"/>
      <c r="O69" s="159"/>
      <c r="P69" s="159"/>
      <c r="Q69" s="159"/>
      <c r="R69" s="159"/>
      <c r="S69" s="159"/>
      <c r="T69" s="216"/>
    </row>
    <row r="70" ht="13.5" customHeight="1" spans="1:20">
      <c r="A70" s="144"/>
      <c r="B70" s="156"/>
      <c r="C70" s="157"/>
      <c r="D70" s="158" t="s">
        <v>336</v>
      </c>
      <c r="E70" s="152"/>
      <c r="F70" s="159"/>
      <c r="G70" s="159"/>
      <c r="H70" s="159"/>
      <c r="I70" s="159"/>
      <c r="J70" s="159"/>
      <c r="K70" s="159"/>
      <c r="L70" s="159"/>
      <c r="M70" s="159"/>
      <c r="N70" s="159" t="s">
        <v>231</v>
      </c>
      <c r="O70" s="159"/>
      <c r="P70" s="159"/>
      <c r="Q70" s="159"/>
      <c r="R70" s="159"/>
      <c r="S70" s="159"/>
      <c r="T70" s="216"/>
    </row>
    <row r="71" ht="13.5" customHeight="1" spans="1:20">
      <c r="A71" s="144"/>
      <c r="B71" s="156"/>
      <c r="C71" s="157"/>
      <c r="D71" s="158" t="s">
        <v>337</v>
      </c>
      <c r="E71" s="152"/>
      <c r="F71" s="159"/>
      <c r="G71" s="159"/>
      <c r="H71" s="159"/>
      <c r="I71" s="159"/>
      <c r="J71" s="159"/>
      <c r="K71" s="159"/>
      <c r="L71" s="159"/>
      <c r="M71" s="159"/>
      <c r="N71" s="159"/>
      <c r="O71" s="159" t="s">
        <v>231</v>
      </c>
      <c r="P71" s="159"/>
      <c r="Q71" s="159"/>
      <c r="R71" s="159"/>
      <c r="S71" s="159"/>
      <c r="T71" s="216"/>
    </row>
    <row r="72" ht="13.5" customHeight="1" spans="1:20">
      <c r="A72" s="144"/>
      <c r="B72" s="161"/>
      <c r="C72" s="162"/>
      <c r="D72" s="225"/>
      <c r="E72" s="164"/>
      <c r="F72" s="165"/>
      <c r="G72" s="165"/>
      <c r="H72" s="165"/>
      <c r="I72" s="165"/>
      <c r="J72" s="165"/>
      <c r="K72" s="165"/>
      <c r="L72" s="165"/>
      <c r="M72" s="165"/>
      <c r="N72" s="165"/>
      <c r="O72" s="165"/>
      <c r="P72" s="165"/>
      <c r="Q72" s="165"/>
      <c r="R72" s="165"/>
      <c r="S72" s="165"/>
      <c r="T72" s="217"/>
    </row>
    <row r="73" ht="13.5" customHeight="1" spans="1:20">
      <c r="A73" s="166" t="s">
        <v>245</v>
      </c>
      <c r="B73" s="167" t="s">
        <v>246</v>
      </c>
      <c r="C73" s="168"/>
      <c r="D73" s="169"/>
      <c r="E73" s="170"/>
      <c r="F73" s="143"/>
      <c r="G73" s="143"/>
      <c r="H73" s="143"/>
      <c r="I73" s="143"/>
      <c r="J73" s="143"/>
      <c r="K73" s="143"/>
      <c r="L73" s="143"/>
      <c r="M73" s="143"/>
      <c r="N73" s="143"/>
      <c r="O73" s="143"/>
      <c r="P73" s="143"/>
      <c r="Q73" s="143"/>
      <c r="R73" s="143"/>
      <c r="S73" s="143"/>
      <c r="T73" s="213"/>
    </row>
    <row r="74" ht="13.5" customHeight="1" spans="1:20">
      <c r="A74" s="171"/>
      <c r="B74" s="172"/>
      <c r="C74" s="173"/>
      <c r="D74" s="174" t="s">
        <v>338</v>
      </c>
      <c r="E74" s="175"/>
      <c r="F74" s="148" t="s">
        <v>231</v>
      </c>
      <c r="G74" s="148"/>
      <c r="H74" s="148"/>
      <c r="I74" s="148"/>
      <c r="J74" s="148"/>
      <c r="K74" s="148"/>
      <c r="L74" s="148"/>
      <c r="M74" s="148"/>
      <c r="N74" s="148"/>
      <c r="O74" s="148"/>
      <c r="P74" s="148"/>
      <c r="Q74" s="148"/>
      <c r="R74" s="148"/>
      <c r="S74" s="148"/>
      <c r="T74" s="214"/>
    </row>
    <row r="75" ht="13.5" customHeight="1" spans="1:20">
      <c r="A75" s="171"/>
      <c r="B75" s="172"/>
      <c r="C75" s="173"/>
      <c r="D75" s="174" t="s">
        <v>339</v>
      </c>
      <c r="E75" s="175"/>
      <c r="F75" s="148"/>
      <c r="G75" s="148" t="s">
        <v>231</v>
      </c>
      <c r="H75" s="148" t="s">
        <v>231</v>
      </c>
      <c r="I75" s="148"/>
      <c r="J75" s="148"/>
      <c r="K75" s="148"/>
      <c r="L75" s="148" t="s">
        <v>231</v>
      </c>
      <c r="M75" s="148" t="s">
        <v>231</v>
      </c>
      <c r="N75" s="148" t="s">
        <v>231</v>
      </c>
      <c r="O75" s="148"/>
      <c r="P75" s="148"/>
      <c r="Q75" s="148"/>
      <c r="R75" s="148"/>
      <c r="S75" s="148"/>
      <c r="T75" s="214"/>
    </row>
    <row r="76" ht="13.5" customHeight="1" spans="1:20">
      <c r="A76" s="171"/>
      <c r="B76" s="172"/>
      <c r="C76" s="173"/>
      <c r="D76" s="174" t="s">
        <v>340</v>
      </c>
      <c r="E76" s="175"/>
      <c r="F76" s="148"/>
      <c r="G76" s="148"/>
      <c r="H76" s="148"/>
      <c r="I76" s="148" t="s">
        <v>231</v>
      </c>
      <c r="J76" s="148" t="s">
        <v>231</v>
      </c>
      <c r="K76" s="148" t="s">
        <v>231</v>
      </c>
      <c r="L76" s="148"/>
      <c r="M76" s="148"/>
      <c r="N76" s="148"/>
      <c r="O76" s="148" t="s">
        <v>231</v>
      </c>
      <c r="P76" s="148"/>
      <c r="Q76" s="148"/>
      <c r="R76" s="148"/>
      <c r="S76" s="148"/>
      <c r="T76" s="214"/>
    </row>
    <row r="77" ht="13.5" customHeight="1" spans="1:20">
      <c r="A77" s="171"/>
      <c r="B77" s="172"/>
      <c r="C77" s="173"/>
      <c r="D77" s="174" t="s">
        <v>341</v>
      </c>
      <c r="E77" s="175"/>
      <c r="F77" s="148" t="s">
        <v>231</v>
      </c>
      <c r="G77" s="148"/>
      <c r="H77" s="148"/>
      <c r="I77" s="148"/>
      <c r="J77" s="148"/>
      <c r="K77" s="148"/>
      <c r="L77" s="148"/>
      <c r="M77" s="148"/>
      <c r="N77" s="148"/>
      <c r="O77" s="148"/>
      <c r="P77" s="148"/>
      <c r="Q77" s="148"/>
      <c r="R77" s="148"/>
      <c r="S77" s="148"/>
      <c r="T77" s="214"/>
    </row>
    <row r="78" ht="13.5" customHeight="1" spans="1:20">
      <c r="A78" s="171"/>
      <c r="B78" s="172"/>
      <c r="C78" s="173"/>
      <c r="D78" s="174" t="s">
        <v>342</v>
      </c>
      <c r="E78" s="175"/>
      <c r="F78" s="148"/>
      <c r="G78" s="148" t="s">
        <v>231</v>
      </c>
      <c r="H78" s="148" t="s">
        <v>231</v>
      </c>
      <c r="I78" s="148" t="s">
        <v>231</v>
      </c>
      <c r="J78" s="148" t="s">
        <v>231</v>
      </c>
      <c r="K78" s="148" t="s">
        <v>231</v>
      </c>
      <c r="L78" s="148" t="s">
        <v>231</v>
      </c>
      <c r="M78" s="148"/>
      <c r="N78" s="148" t="s">
        <v>231</v>
      </c>
      <c r="O78" s="148"/>
      <c r="P78" s="148"/>
      <c r="Q78" s="148"/>
      <c r="R78" s="148"/>
      <c r="S78" s="148"/>
      <c r="T78" s="214"/>
    </row>
    <row r="79" ht="13.5" customHeight="1" spans="1:20">
      <c r="A79" s="171"/>
      <c r="B79" s="172"/>
      <c r="C79" s="173"/>
      <c r="D79" s="174" t="s">
        <v>343</v>
      </c>
      <c r="E79" s="175"/>
      <c r="F79" s="148"/>
      <c r="G79" s="148"/>
      <c r="H79" s="148"/>
      <c r="I79" s="148"/>
      <c r="J79" s="148"/>
      <c r="K79" s="148"/>
      <c r="L79" s="148"/>
      <c r="M79" s="148" t="s">
        <v>231</v>
      </c>
      <c r="N79" s="148"/>
      <c r="O79" s="148" t="s">
        <v>231</v>
      </c>
      <c r="P79" s="148"/>
      <c r="Q79" s="148"/>
      <c r="R79" s="148"/>
      <c r="S79" s="148"/>
      <c r="T79" s="214"/>
    </row>
    <row r="80" ht="13.5" customHeight="1" spans="1:20">
      <c r="A80" s="171"/>
      <c r="B80" s="172"/>
      <c r="C80" s="173"/>
      <c r="D80" s="174" t="s">
        <v>344</v>
      </c>
      <c r="E80" s="175"/>
      <c r="F80" s="148" t="s">
        <v>231</v>
      </c>
      <c r="G80" s="148"/>
      <c r="H80" s="148"/>
      <c r="I80" s="148"/>
      <c r="J80" s="148"/>
      <c r="K80" s="148"/>
      <c r="L80" s="148"/>
      <c r="M80" s="148"/>
      <c r="N80" s="148"/>
      <c r="O80" s="148"/>
      <c r="P80" s="148"/>
      <c r="Q80" s="148"/>
      <c r="R80" s="148"/>
      <c r="S80" s="148"/>
      <c r="T80" s="214"/>
    </row>
    <row r="81" ht="13.5" customHeight="1" spans="1:20">
      <c r="A81" s="171"/>
      <c r="B81" s="172"/>
      <c r="C81" s="173"/>
      <c r="D81" s="174" t="s">
        <v>345</v>
      </c>
      <c r="E81" s="175"/>
      <c r="F81" s="148"/>
      <c r="G81" s="148" t="s">
        <v>231</v>
      </c>
      <c r="H81" s="148" t="s">
        <v>231</v>
      </c>
      <c r="I81" s="148" t="s">
        <v>231</v>
      </c>
      <c r="J81" s="148"/>
      <c r="K81" s="148"/>
      <c r="L81" s="148" t="s">
        <v>231</v>
      </c>
      <c r="M81" s="148" t="s">
        <v>231</v>
      </c>
      <c r="N81" s="148"/>
      <c r="O81" s="148"/>
      <c r="P81" s="148"/>
      <c r="Q81" s="148"/>
      <c r="R81" s="148"/>
      <c r="S81" s="148"/>
      <c r="T81" s="214"/>
    </row>
    <row r="82" ht="13.5" customHeight="1" spans="1:20">
      <c r="A82" s="171"/>
      <c r="B82" s="172"/>
      <c r="C82" s="173"/>
      <c r="D82" s="174" t="s">
        <v>346</v>
      </c>
      <c r="E82" s="175"/>
      <c r="F82" s="148"/>
      <c r="G82" s="148"/>
      <c r="H82" s="148"/>
      <c r="I82" s="148"/>
      <c r="J82" s="148" t="s">
        <v>231</v>
      </c>
      <c r="K82" s="148" t="s">
        <v>231</v>
      </c>
      <c r="L82" s="148"/>
      <c r="M82" s="148"/>
      <c r="N82" s="148" t="s">
        <v>231</v>
      </c>
      <c r="O82" s="148" t="s">
        <v>231</v>
      </c>
      <c r="P82" s="148"/>
      <c r="Q82" s="148"/>
      <c r="R82" s="148"/>
      <c r="S82" s="148"/>
      <c r="T82" s="214"/>
    </row>
    <row r="83" ht="13.5" customHeight="1" spans="1:20">
      <c r="A83" s="171"/>
      <c r="B83" s="172"/>
      <c r="C83" s="173"/>
      <c r="D83" s="174" t="s">
        <v>347</v>
      </c>
      <c r="E83" s="175"/>
      <c r="F83" s="148" t="s">
        <v>231</v>
      </c>
      <c r="G83" s="148" t="s">
        <v>231</v>
      </c>
      <c r="H83" s="148" t="s">
        <v>231</v>
      </c>
      <c r="I83" s="148"/>
      <c r="J83" s="148" t="s">
        <v>231</v>
      </c>
      <c r="K83" s="148" t="s">
        <v>231</v>
      </c>
      <c r="L83" s="148"/>
      <c r="M83" s="148" t="s">
        <v>231</v>
      </c>
      <c r="N83" s="148" t="s">
        <v>231</v>
      </c>
      <c r="O83" s="148"/>
      <c r="P83" s="148"/>
      <c r="Q83" s="148"/>
      <c r="R83" s="148"/>
      <c r="S83" s="148"/>
      <c r="T83" s="214"/>
    </row>
    <row r="84" ht="13.5" customHeight="1" spans="1:20">
      <c r="A84" s="171"/>
      <c r="B84" s="172"/>
      <c r="C84" s="173"/>
      <c r="D84" s="174" t="s">
        <v>348</v>
      </c>
      <c r="E84" s="175"/>
      <c r="F84" s="148"/>
      <c r="G84" s="148"/>
      <c r="H84" s="148"/>
      <c r="I84" s="148" t="s">
        <v>231</v>
      </c>
      <c r="J84" s="148"/>
      <c r="K84" s="148"/>
      <c r="L84" s="148"/>
      <c r="M84" s="148"/>
      <c r="N84" s="148"/>
      <c r="O84" s="148"/>
      <c r="P84" s="148"/>
      <c r="Q84" s="148"/>
      <c r="R84" s="148"/>
      <c r="S84" s="148"/>
      <c r="T84" s="214"/>
    </row>
    <row r="85" ht="13.5" customHeight="1" spans="1:20">
      <c r="A85" s="171"/>
      <c r="B85" s="172"/>
      <c r="C85" s="176"/>
      <c r="D85" s="174" t="s">
        <v>349</v>
      </c>
      <c r="E85" s="177"/>
      <c r="F85" s="148"/>
      <c r="G85" s="148"/>
      <c r="H85" s="148"/>
      <c r="I85" s="148"/>
      <c r="J85" s="148"/>
      <c r="K85" s="148"/>
      <c r="L85" s="148" t="s">
        <v>231</v>
      </c>
      <c r="M85" s="148"/>
      <c r="N85" s="148"/>
      <c r="O85" s="148" t="s">
        <v>231</v>
      </c>
      <c r="P85" s="148"/>
      <c r="Q85" s="148"/>
      <c r="R85" s="148"/>
      <c r="S85" s="148"/>
      <c r="T85" s="214"/>
    </row>
    <row r="86" ht="13.5" customHeight="1" spans="1:20">
      <c r="A86" s="171"/>
      <c r="B86" s="172"/>
      <c r="C86" s="176"/>
      <c r="D86" s="174" t="s">
        <v>350</v>
      </c>
      <c r="E86" s="177"/>
      <c r="F86" s="148" t="s">
        <v>231</v>
      </c>
      <c r="G86" s="148" t="s">
        <v>231</v>
      </c>
      <c r="H86" s="148" t="s">
        <v>231</v>
      </c>
      <c r="I86" s="148"/>
      <c r="J86" s="148"/>
      <c r="K86" s="148"/>
      <c r="L86" s="148"/>
      <c r="M86" s="148"/>
      <c r="N86" s="148"/>
      <c r="O86" s="148"/>
      <c r="P86" s="148"/>
      <c r="Q86" s="148"/>
      <c r="R86" s="148"/>
      <c r="S86" s="148"/>
      <c r="T86" s="214"/>
    </row>
    <row r="87" ht="13.5" customHeight="1" spans="1:20">
      <c r="A87" s="171"/>
      <c r="B87" s="172"/>
      <c r="C87" s="176"/>
      <c r="D87" s="174" t="s">
        <v>351</v>
      </c>
      <c r="E87" s="177"/>
      <c r="F87" s="148"/>
      <c r="G87" s="148"/>
      <c r="H87" s="148"/>
      <c r="I87" s="148" t="s">
        <v>231</v>
      </c>
      <c r="J87" s="148" t="s">
        <v>231</v>
      </c>
      <c r="K87" s="148" t="s">
        <v>231</v>
      </c>
      <c r="L87" s="148" t="s">
        <v>231</v>
      </c>
      <c r="M87" s="148" t="s">
        <v>231</v>
      </c>
      <c r="N87" s="148" t="s">
        <v>231</v>
      </c>
      <c r="O87" s="148" t="s">
        <v>231</v>
      </c>
      <c r="P87" s="148"/>
      <c r="Q87" s="148"/>
      <c r="R87" s="148"/>
      <c r="S87" s="148"/>
      <c r="T87" s="214"/>
    </row>
    <row r="88" ht="13.5" customHeight="1" spans="1:20">
      <c r="A88" s="171"/>
      <c r="B88" s="172"/>
      <c r="C88" s="176"/>
      <c r="D88" s="174" t="s">
        <v>352</v>
      </c>
      <c r="E88" s="177"/>
      <c r="F88" s="148"/>
      <c r="G88" s="148"/>
      <c r="H88" s="148"/>
      <c r="I88" s="148"/>
      <c r="J88" s="148"/>
      <c r="K88" s="148"/>
      <c r="L88" s="148"/>
      <c r="M88" s="148"/>
      <c r="N88" s="148"/>
      <c r="O88" s="148" t="s">
        <v>231</v>
      </c>
      <c r="P88" s="148"/>
      <c r="Q88" s="148"/>
      <c r="R88" s="148"/>
      <c r="S88" s="148"/>
      <c r="T88" s="214"/>
    </row>
    <row r="89" ht="13.5" customHeight="1" spans="1:20">
      <c r="A89" s="171"/>
      <c r="B89" s="172"/>
      <c r="C89" s="176"/>
      <c r="D89" s="174" t="s">
        <v>353</v>
      </c>
      <c r="E89" s="177"/>
      <c r="F89" s="148" t="s">
        <v>231</v>
      </c>
      <c r="G89" s="148" t="s">
        <v>231</v>
      </c>
      <c r="H89" s="148" t="s">
        <v>231</v>
      </c>
      <c r="I89" s="148" t="s">
        <v>231</v>
      </c>
      <c r="J89" s="148" t="s">
        <v>231</v>
      </c>
      <c r="K89" s="148" t="s">
        <v>231</v>
      </c>
      <c r="L89" s="148" t="s">
        <v>231</v>
      </c>
      <c r="M89" s="148" t="s">
        <v>231</v>
      </c>
      <c r="N89" s="148" t="s">
        <v>231</v>
      </c>
      <c r="O89" s="148"/>
      <c r="P89" s="148"/>
      <c r="Q89" s="148"/>
      <c r="R89" s="148"/>
      <c r="S89" s="148"/>
      <c r="T89" s="214"/>
    </row>
    <row r="90" ht="13.5" customHeight="1" spans="1:20">
      <c r="A90" s="171"/>
      <c r="B90" s="172" t="s">
        <v>249</v>
      </c>
      <c r="C90" s="176"/>
      <c r="D90" s="174"/>
      <c r="E90" s="177"/>
      <c r="F90" s="148"/>
      <c r="G90" s="148"/>
      <c r="H90" s="148"/>
      <c r="I90" s="148"/>
      <c r="J90" s="148"/>
      <c r="K90" s="148"/>
      <c r="L90" s="148"/>
      <c r="M90" s="148"/>
      <c r="N90" s="148"/>
      <c r="O90" s="148"/>
      <c r="P90" s="148"/>
      <c r="Q90" s="148"/>
      <c r="R90" s="148"/>
      <c r="S90" s="148"/>
      <c r="T90" s="214"/>
    </row>
    <row r="91" ht="13.5" customHeight="1" spans="1:20">
      <c r="A91" s="171"/>
      <c r="B91" s="172"/>
      <c r="C91" s="176"/>
      <c r="D91" s="174"/>
      <c r="E91" s="177"/>
      <c r="F91" s="148"/>
      <c r="G91" s="148"/>
      <c r="H91" s="148"/>
      <c r="I91" s="148"/>
      <c r="J91" s="148"/>
      <c r="K91" s="148"/>
      <c r="L91" s="148"/>
      <c r="M91" s="148"/>
      <c r="N91" s="148"/>
      <c r="O91" s="148"/>
      <c r="P91" s="148"/>
      <c r="Q91" s="148"/>
      <c r="R91" s="148"/>
      <c r="S91" s="148"/>
      <c r="T91" s="214"/>
    </row>
    <row r="92" ht="13.5" customHeight="1" spans="1:20">
      <c r="A92" s="171"/>
      <c r="B92" s="172" t="s">
        <v>250</v>
      </c>
      <c r="C92" s="176"/>
      <c r="D92" s="174"/>
      <c r="E92" s="177"/>
      <c r="F92" s="148"/>
      <c r="G92" s="148"/>
      <c r="H92" s="148"/>
      <c r="I92" s="148"/>
      <c r="J92" s="148"/>
      <c r="K92" s="148"/>
      <c r="L92" s="148"/>
      <c r="M92" s="148"/>
      <c r="N92" s="148"/>
      <c r="O92" s="148"/>
      <c r="P92" s="148"/>
      <c r="Q92" s="148"/>
      <c r="R92" s="148"/>
      <c r="S92" s="148"/>
      <c r="T92" s="214"/>
    </row>
    <row r="93" ht="13.5" customHeight="1" spans="1:20">
      <c r="A93" s="171"/>
      <c r="B93" s="172"/>
      <c r="C93" s="176"/>
      <c r="D93" s="174" t="s">
        <v>352</v>
      </c>
      <c r="E93" s="177"/>
      <c r="F93" s="148"/>
      <c r="G93" s="148"/>
      <c r="H93" s="148"/>
      <c r="I93" s="148"/>
      <c r="J93" s="148"/>
      <c r="K93" s="148"/>
      <c r="L93" s="148"/>
      <c r="M93" s="148"/>
      <c r="N93" s="148"/>
      <c r="O93" s="148" t="s">
        <v>231</v>
      </c>
      <c r="P93" s="148"/>
      <c r="Q93" s="148"/>
      <c r="R93" s="148"/>
      <c r="S93" s="148"/>
      <c r="T93" s="214"/>
    </row>
    <row r="94" ht="13.5" customHeight="1" spans="1:20">
      <c r="A94" s="171"/>
      <c r="B94" s="178"/>
      <c r="C94" s="179"/>
      <c r="D94" s="180" t="s">
        <v>354</v>
      </c>
      <c r="E94" s="181"/>
      <c r="F94" s="159" t="s">
        <v>231</v>
      </c>
      <c r="G94" s="159" t="s">
        <v>231</v>
      </c>
      <c r="H94" s="159" t="s">
        <v>231</v>
      </c>
      <c r="I94" s="159" t="s">
        <v>231</v>
      </c>
      <c r="J94" s="159" t="s">
        <v>231</v>
      </c>
      <c r="K94" s="159" t="s">
        <v>231</v>
      </c>
      <c r="L94" s="159" t="s">
        <v>231</v>
      </c>
      <c r="M94" s="159" t="s">
        <v>231</v>
      </c>
      <c r="N94" s="159" t="s">
        <v>231</v>
      </c>
      <c r="O94" s="159"/>
      <c r="P94" s="159"/>
      <c r="Q94" s="159"/>
      <c r="R94" s="159"/>
      <c r="S94" s="159"/>
      <c r="T94" s="216"/>
    </row>
    <row r="95" ht="13.5" customHeight="1" spans="1:20">
      <c r="A95" s="171"/>
      <c r="B95" s="178"/>
      <c r="C95" s="179"/>
      <c r="D95" s="180" t="s">
        <v>353</v>
      </c>
      <c r="E95" s="181"/>
      <c r="F95" s="159"/>
      <c r="G95" s="159"/>
      <c r="H95" s="159"/>
      <c r="I95" s="159"/>
      <c r="J95" s="159"/>
      <c r="K95" s="159"/>
      <c r="L95" s="159"/>
      <c r="M95" s="159"/>
      <c r="N95" s="159"/>
      <c r="O95" s="159"/>
      <c r="P95" s="159"/>
      <c r="Q95" s="159"/>
      <c r="R95" s="159"/>
      <c r="S95" s="159"/>
      <c r="T95" s="216"/>
    </row>
    <row r="96" ht="13.5" customHeight="1" spans="1:20">
      <c r="A96" s="171"/>
      <c r="B96" s="178"/>
      <c r="C96" s="182"/>
      <c r="D96" s="180"/>
      <c r="E96" s="183"/>
      <c r="F96" s="159"/>
      <c r="G96" s="159"/>
      <c r="H96" s="159"/>
      <c r="I96" s="159"/>
      <c r="J96" s="159"/>
      <c r="K96" s="159"/>
      <c r="L96" s="159"/>
      <c r="M96" s="159"/>
      <c r="N96" s="159"/>
      <c r="O96" s="159"/>
      <c r="P96" s="159"/>
      <c r="Q96" s="159"/>
      <c r="R96" s="159"/>
      <c r="S96" s="159"/>
      <c r="T96" s="216"/>
    </row>
    <row r="97" ht="13.5" customHeight="1" spans="1:20">
      <c r="A97" s="166" t="s">
        <v>255</v>
      </c>
      <c r="B97" s="184" t="s">
        <v>256</v>
      </c>
      <c r="C97" s="184"/>
      <c r="D97" s="184"/>
      <c r="E97" s="184"/>
      <c r="F97" s="185" t="s">
        <v>197</v>
      </c>
      <c r="G97" s="185" t="s">
        <v>197</v>
      </c>
      <c r="H97" s="185" t="s">
        <v>197</v>
      </c>
      <c r="I97" s="185" t="s">
        <v>197</v>
      </c>
      <c r="J97" s="185" t="s">
        <v>197</v>
      </c>
      <c r="K97" s="185" t="s">
        <v>197</v>
      </c>
      <c r="L97" s="185" t="s">
        <v>197</v>
      </c>
      <c r="M97" s="185" t="s">
        <v>197</v>
      </c>
      <c r="N97" s="185" t="s">
        <v>197</v>
      </c>
      <c r="O97" s="185" t="s">
        <v>197</v>
      </c>
      <c r="P97" s="185"/>
      <c r="Q97" s="185"/>
      <c r="R97" s="185"/>
      <c r="S97" s="185"/>
      <c r="T97" s="218"/>
    </row>
    <row r="98" ht="13.5" customHeight="1" spans="1:20">
      <c r="A98" s="171"/>
      <c r="B98" s="186" t="s">
        <v>257</v>
      </c>
      <c r="C98" s="186"/>
      <c r="D98" s="186"/>
      <c r="E98" s="187"/>
      <c r="F98" s="188" t="s">
        <v>258</v>
      </c>
      <c r="G98" s="188" t="s">
        <v>258</v>
      </c>
      <c r="H98" s="188" t="s">
        <v>258</v>
      </c>
      <c r="I98" s="188" t="s">
        <v>258</v>
      </c>
      <c r="J98" s="188" t="s">
        <v>258</v>
      </c>
      <c r="K98" s="188" t="s">
        <v>258</v>
      </c>
      <c r="L98" s="188" t="s">
        <v>258</v>
      </c>
      <c r="M98" s="188" t="s">
        <v>258</v>
      </c>
      <c r="N98" s="188" t="s">
        <v>258</v>
      </c>
      <c r="O98" s="188" t="s">
        <v>271</v>
      </c>
      <c r="P98" s="188"/>
      <c r="Q98" s="188"/>
      <c r="R98" s="188"/>
      <c r="S98" s="188"/>
      <c r="T98" s="219"/>
    </row>
    <row r="99" ht="13.5" customHeight="1" spans="1:20">
      <c r="A99" s="171"/>
      <c r="B99" s="189" t="s">
        <v>259</v>
      </c>
      <c r="C99" s="189"/>
      <c r="D99" s="189"/>
      <c r="E99" s="190"/>
      <c r="F99" s="191">
        <v>44165</v>
      </c>
      <c r="G99" s="191">
        <v>44165</v>
      </c>
      <c r="H99" s="191">
        <v>44165</v>
      </c>
      <c r="I99" s="191">
        <v>44165</v>
      </c>
      <c r="J99" s="191">
        <v>44165</v>
      </c>
      <c r="K99" s="191">
        <v>44165</v>
      </c>
      <c r="L99" s="191">
        <v>44165</v>
      </c>
      <c r="M99" s="191">
        <v>44165</v>
      </c>
      <c r="N99" s="191">
        <v>44165</v>
      </c>
      <c r="O99" s="191">
        <v>44165</v>
      </c>
      <c r="P99" s="191"/>
      <c r="Q99" s="191"/>
      <c r="R99" s="191"/>
      <c r="S99" s="191"/>
      <c r="T99" s="220"/>
    </row>
    <row r="100" ht="13.95" spans="1:20">
      <c r="A100" s="192"/>
      <c r="B100" s="193" t="s">
        <v>260</v>
      </c>
      <c r="C100" s="193"/>
      <c r="D100" s="193"/>
      <c r="E100" s="194"/>
      <c r="F100" s="195"/>
      <c r="G100" s="195"/>
      <c r="H100" s="195"/>
      <c r="I100" s="195"/>
      <c r="J100" s="195"/>
      <c r="K100" s="195"/>
      <c r="L100" s="195"/>
      <c r="M100" s="195"/>
      <c r="N100" s="195"/>
      <c r="O100" s="195"/>
      <c r="P100" s="195"/>
      <c r="Q100" s="195"/>
      <c r="R100" s="195"/>
      <c r="S100" s="195"/>
      <c r="T100" s="221"/>
    </row>
    <row r="101" ht="13.95" spans="1:1">
      <c r="A101"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97:D97"/>
    <mergeCell ref="B98:D98"/>
    <mergeCell ref="B99:D99"/>
    <mergeCell ref="B100:D100"/>
  </mergeCells>
  <dataValidations count="3">
    <dataValidation type="list" allowBlank="1" showErrorMessage="1" sqref="F97:T97">
      <formula1>"N,A,B,"</formula1>
    </dataValidation>
    <dataValidation type="list" allowBlank="1" showErrorMessage="1" sqref="F98:T98">
      <formula1>"P,F,"</formula1>
    </dataValidation>
    <dataValidation type="list" allowBlank="1" showErrorMessage="1" sqref="F10:T96">
      <formula1>"O,"</formula1>
    </dataValidation>
  </dataValidations>
  <pageMargins left="0.7" right="0.7"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4"/>
  <sheetViews>
    <sheetView workbookViewId="0">
      <selection activeCell="A1" sqref="A1"/>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38.1018518518519" style="116" customWidth="1"/>
    <col min="5" max="5" width="1.10185185185185" style="114" hidden="1" customWidth="1"/>
    <col min="6" max="21" width="2.76851851851852" style="114" customWidth="1"/>
    <col min="22" max="257" width="8.99074074074074" style="114"/>
  </cols>
  <sheetData>
    <row r="1" ht="13.5" customHeight="1" spans="1:2">
      <c r="A1" s="117"/>
      <c r="B1" s="118"/>
    </row>
    <row r="2" ht="13.5" customHeight="1" spans="1:22">
      <c r="A2" s="120" t="s">
        <v>207</v>
      </c>
      <c r="B2" s="120"/>
      <c r="C2" s="121" t="s">
        <v>355</v>
      </c>
      <c r="D2" s="121"/>
      <c r="E2" s="121"/>
      <c r="F2" s="122" t="s">
        <v>119</v>
      </c>
      <c r="G2" s="122"/>
      <c r="H2" s="122"/>
      <c r="I2" s="122"/>
      <c r="J2" s="122"/>
      <c r="K2" s="122"/>
      <c r="L2" s="197" t="s">
        <v>162</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9"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356</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COUNTIF(F41:HQ41,"P")</f>
        <v>13</v>
      </c>
      <c r="B7" s="131"/>
      <c r="C7" s="132">
        <f>COUNTIF(F41:HQ41,"F")</f>
        <v>0</v>
      </c>
      <c r="D7" s="132"/>
      <c r="E7" s="132"/>
      <c r="F7" s="132">
        <f>SUM(O7,-A7,-C7)</f>
        <v>0</v>
      </c>
      <c r="G7" s="132"/>
      <c r="H7" s="132"/>
      <c r="I7" s="132"/>
      <c r="J7" s="132"/>
      <c r="K7" s="132"/>
      <c r="L7" s="203">
        <f>COUNTIF(E40:HQ40,"N")</f>
        <v>13</v>
      </c>
      <c r="M7" s="203">
        <f>COUNTIF(E40:HQ40,"A")</f>
        <v>0</v>
      </c>
      <c r="N7" s="203">
        <f>COUNTIF(E40:HQ40,"B")</f>
        <v>0</v>
      </c>
      <c r="O7" s="204">
        <f>COUNTA(E9:HT9)</f>
        <v>13</v>
      </c>
      <c r="P7" s="204"/>
      <c r="Q7" s="204"/>
      <c r="R7" s="204"/>
      <c r="S7" s="204"/>
      <c r="T7" s="204"/>
      <c r="U7" s="208"/>
    </row>
    <row r="8" ht="13.95"/>
    <row r="9" ht="46.5" customHeight="1" spans="1:23">
      <c r="A9" s="133"/>
      <c r="B9" s="134"/>
      <c r="C9" s="135"/>
      <c r="D9" s="136"/>
      <c r="E9" s="135"/>
      <c r="F9" s="137" t="s">
        <v>216</v>
      </c>
      <c r="G9" s="137" t="s">
        <v>217</v>
      </c>
      <c r="H9" s="137" t="s">
        <v>218</v>
      </c>
      <c r="I9" s="137" t="s">
        <v>219</v>
      </c>
      <c r="J9" s="137" t="s">
        <v>220</v>
      </c>
      <c r="K9" s="137" t="s">
        <v>221</v>
      </c>
      <c r="L9" s="137" t="s">
        <v>222</v>
      </c>
      <c r="M9" s="137" t="s">
        <v>223</v>
      </c>
      <c r="N9" s="137" t="s">
        <v>224</v>
      </c>
      <c r="O9" s="137" t="s">
        <v>288</v>
      </c>
      <c r="P9" s="137" t="s">
        <v>357</v>
      </c>
      <c r="Q9" s="137" t="s">
        <v>358</v>
      </c>
      <c r="R9" s="137" t="s">
        <v>359</v>
      </c>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289</v>
      </c>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t="s">
        <v>360</v>
      </c>
      <c r="D13" s="147"/>
      <c r="E13" s="150"/>
      <c r="F13" s="148"/>
      <c r="G13" s="148"/>
      <c r="H13" s="148"/>
      <c r="I13" s="148"/>
      <c r="J13" s="148"/>
      <c r="K13" s="148"/>
      <c r="L13" s="148"/>
      <c r="M13" s="148"/>
      <c r="N13" s="148"/>
      <c r="O13" s="148"/>
      <c r="P13" s="148"/>
      <c r="Q13" s="148"/>
      <c r="R13" s="148"/>
      <c r="S13" s="148"/>
      <c r="T13" s="214"/>
    </row>
    <row r="14" ht="13.5" customHeight="1" spans="1:20">
      <c r="A14" s="144"/>
      <c r="B14" s="145"/>
      <c r="C14" s="146"/>
      <c r="D14" s="147" t="s">
        <v>230</v>
      </c>
      <c r="E14" s="152"/>
      <c r="F14" s="148" t="s">
        <v>231</v>
      </c>
      <c r="G14" s="148"/>
      <c r="H14" s="148"/>
      <c r="I14" s="148"/>
      <c r="J14" s="148"/>
      <c r="K14" s="148"/>
      <c r="L14" s="148"/>
      <c r="M14" s="148"/>
      <c r="N14" s="148"/>
      <c r="O14" s="148"/>
      <c r="P14" s="148"/>
      <c r="Q14" s="148"/>
      <c r="R14" s="148"/>
      <c r="S14" s="148"/>
      <c r="T14" s="214"/>
    </row>
    <row r="15" ht="13.5" customHeight="1" spans="1:20">
      <c r="A15" s="144"/>
      <c r="B15" s="145"/>
      <c r="C15" s="146"/>
      <c r="D15" s="153" t="s">
        <v>361</v>
      </c>
      <c r="E15" s="152"/>
      <c r="F15" s="148"/>
      <c r="G15" s="148" t="s">
        <v>231</v>
      </c>
      <c r="H15" s="148"/>
      <c r="I15" s="148"/>
      <c r="J15" s="148"/>
      <c r="K15" s="148"/>
      <c r="L15" s="148"/>
      <c r="M15" s="148"/>
      <c r="N15" s="148"/>
      <c r="O15" s="148"/>
      <c r="P15" s="148"/>
      <c r="Q15" s="148"/>
      <c r="R15" s="148"/>
      <c r="S15" s="148"/>
      <c r="T15" s="214"/>
    </row>
    <row r="16" ht="13.5" customHeight="1" spans="1:20">
      <c r="A16" s="144"/>
      <c r="B16" s="145"/>
      <c r="C16" s="146"/>
      <c r="D16" s="153" t="s">
        <v>362</v>
      </c>
      <c r="E16" s="152"/>
      <c r="F16" s="148"/>
      <c r="G16" s="148"/>
      <c r="H16" s="148" t="s">
        <v>231</v>
      </c>
      <c r="I16" s="148"/>
      <c r="J16" s="148"/>
      <c r="K16" s="148"/>
      <c r="L16" s="148"/>
      <c r="M16" s="148"/>
      <c r="N16" s="148"/>
      <c r="O16" s="148"/>
      <c r="P16" s="148"/>
      <c r="Q16" s="148"/>
      <c r="R16" s="148"/>
      <c r="S16" s="148"/>
      <c r="T16" s="214"/>
    </row>
    <row r="17" ht="13.5" customHeight="1" spans="1:20">
      <c r="A17" s="144"/>
      <c r="B17" s="145"/>
      <c r="C17" s="146"/>
      <c r="D17" s="153" t="s">
        <v>363</v>
      </c>
      <c r="E17" s="152"/>
      <c r="F17" s="148"/>
      <c r="G17" s="148"/>
      <c r="H17" s="148"/>
      <c r="I17" s="148" t="s">
        <v>231</v>
      </c>
      <c r="J17" s="148"/>
      <c r="K17" s="148"/>
      <c r="L17" s="148"/>
      <c r="M17" s="148"/>
      <c r="N17" s="148"/>
      <c r="O17" s="148"/>
      <c r="P17" s="148"/>
      <c r="Q17" s="148"/>
      <c r="R17" s="148"/>
      <c r="S17" s="148"/>
      <c r="T17" s="214"/>
    </row>
    <row r="18" ht="13.5" customHeight="1" spans="1:20">
      <c r="A18" s="144"/>
      <c r="B18" s="145"/>
      <c r="C18" s="146"/>
      <c r="D18" s="153" t="s">
        <v>364</v>
      </c>
      <c r="E18" s="152"/>
      <c r="F18" s="148"/>
      <c r="G18" s="148"/>
      <c r="H18" s="148"/>
      <c r="I18" s="148"/>
      <c r="J18" s="148" t="s">
        <v>231</v>
      </c>
      <c r="K18" s="148"/>
      <c r="L18" s="148"/>
      <c r="M18" s="148"/>
      <c r="N18" s="148"/>
      <c r="O18" s="148"/>
      <c r="P18" s="148"/>
      <c r="Q18" s="148"/>
      <c r="R18" s="148"/>
      <c r="S18" s="148"/>
      <c r="T18" s="214"/>
    </row>
    <row r="19" ht="13.5" customHeight="1" spans="1:20">
      <c r="A19" s="144"/>
      <c r="B19" s="145"/>
      <c r="C19" s="146"/>
      <c r="D19" s="154" t="s">
        <v>365</v>
      </c>
      <c r="E19" s="152"/>
      <c r="F19" s="148"/>
      <c r="G19" s="148"/>
      <c r="H19" s="148"/>
      <c r="I19" s="148"/>
      <c r="J19" s="148"/>
      <c r="K19" s="148" t="s">
        <v>231</v>
      </c>
      <c r="L19" s="148"/>
      <c r="M19" s="148"/>
      <c r="N19" s="148"/>
      <c r="O19" s="148"/>
      <c r="P19" s="148"/>
      <c r="Q19" s="148"/>
      <c r="R19" s="148"/>
      <c r="S19" s="148"/>
      <c r="T19" s="214"/>
    </row>
    <row r="20" ht="13.5" customHeight="1" spans="1:20">
      <c r="A20" s="144"/>
      <c r="B20" s="145"/>
      <c r="C20" s="146"/>
      <c r="D20" s="154" t="s">
        <v>366</v>
      </c>
      <c r="E20" s="152"/>
      <c r="F20" s="148"/>
      <c r="G20" s="148"/>
      <c r="H20" s="148"/>
      <c r="I20" s="148"/>
      <c r="J20" s="148"/>
      <c r="K20" s="148"/>
      <c r="L20" s="148" t="s">
        <v>231</v>
      </c>
      <c r="M20" s="148"/>
      <c r="N20" s="148"/>
      <c r="O20" s="148"/>
      <c r="P20" s="148"/>
      <c r="Q20" s="148"/>
      <c r="R20" s="148"/>
      <c r="S20" s="148"/>
      <c r="T20" s="214"/>
    </row>
    <row r="21" ht="13.5" customHeight="1" spans="1:20">
      <c r="A21" s="144"/>
      <c r="B21" s="145"/>
      <c r="C21" s="146"/>
      <c r="D21" s="153" t="s">
        <v>367</v>
      </c>
      <c r="E21" s="152"/>
      <c r="F21" s="148"/>
      <c r="G21" s="148"/>
      <c r="H21" s="148"/>
      <c r="I21" s="148"/>
      <c r="J21" s="148"/>
      <c r="K21" s="148"/>
      <c r="L21" s="148"/>
      <c r="M21" s="148" t="s">
        <v>231</v>
      </c>
      <c r="N21" s="148"/>
      <c r="O21" s="148"/>
      <c r="P21" s="148"/>
      <c r="Q21" s="148"/>
      <c r="R21" s="148"/>
      <c r="S21" s="148"/>
      <c r="T21" s="214"/>
    </row>
    <row r="22" ht="13.5" customHeight="1" spans="1:20">
      <c r="A22" s="144"/>
      <c r="B22" s="145"/>
      <c r="C22" s="146"/>
      <c r="D22" s="154" t="s">
        <v>129</v>
      </c>
      <c r="E22" s="152"/>
      <c r="F22" s="148"/>
      <c r="G22" s="148"/>
      <c r="H22" s="148"/>
      <c r="I22" s="148"/>
      <c r="J22" s="148"/>
      <c r="K22" s="148"/>
      <c r="L22" s="148"/>
      <c r="M22" s="148"/>
      <c r="N22" s="148" t="s">
        <v>231</v>
      </c>
      <c r="O22" s="148"/>
      <c r="P22" s="148"/>
      <c r="Q22" s="148"/>
      <c r="R22" s="148"/>
      <c r="S22" s="148"/>
      <c r="T22" s="214"/>
    </row>
    <row r="23" ht="13.5" customHeight="1" spans="1:21">
      <c r="A23" s="144"/>
      <c r="B23" s="145"/>
      <c r="C23" s="146"/>
      <c r="D23" s="153" t="s">
        <v>368</v>
      </c>
      <c r="E23" s="152"/>
      <c r="F23" s="148"/>
      <c r="G23" s="148"/>
      <c r="H23" s="148"/>
      <c r="I23" s="148"/>
      <c r="J23" s="148"/>
      <c r="K23" s="148"/>
      <c r="L23" s="148"/>
      <c r="M23" s="148"/>
      <c r="N23" s="148"/>
      <c r="O23" s="148" t="s">
        <v>231</v>
      </c>
      <c r="P23" s="148"/>
      <c r="Q23" s="148"/>
      <c r="R23" s="148"/>
      <c r="S23" s="148"/>
      <c r="T23" s="214"/>
      <c r="U23" s="215"/>
    </row>
    <row r="24" ht="13.5" customHeight="1" spans="1:20">
      <c r="A24" s="144"/>
      <c r="B24" s="145"/>
      <c r="C24" s="149"/>
      <c r="D24" s="153" t="s">
        <v>369</v>
      </c>
      <c r="E24" s="152"/>
      <c r="F24" s="148"/>
      <c r="G24" s="148"/>
      <c r="H24" s="148"/>
      <c r="I24" s="148"/>
      <c r="J24" s="148"/>
      <c r="K24" s="148"/>
      <c r="L24" s="148"/>
      <c r="M24" s="148"/>
      <c r="N24" s="148"/>
      <c r="O24" s="148"/>
      <c r="P24" s="148" t="s">
        <v>231</v>
      </c>
      <c r="Q24" s="148"/>
      <c r="R24" s="148"/>
      <c r="S24" s="148"/>
      <c r="T24" s="214"/>
    </row>
    <row r="25" ht="13.5" customHeight="1" spans="1:20">
      <c r="A25" s="144"/>
      <c r="B25" s="145"/>
      <c r="C25" s="146"/>
      <c r="D25" s="153" t="s">
        <v>337</v>
      </c>
      <c r="E25" s="152"/>
      <c r="F25" s="148"/>
      <c r="G25" s="148"/>
      <c r="H25" s="148"/>
      <c r="I25" s="148"/>
      <c r="J25" s="148"/>
      <c r="K25" s="148"/>
      <c r="L25" s="148"/>
      <c r="M25" s="148"/>
      <c r="N25" s="148"/>
      <c r="O25" s="148"/>
      <c r="P25" s="148"/>
      <c r="Q25" s="148" t="s">
        <v>231</v>
      </c>
      <c r="R25" s="148"/>
      <c r="S25" s="148"/>
      <c r="T25" s="214"/>
    </row>
    <row r="26" ht="13.5" customHeight="1" spans="1:20">
      <c r="A26" s="144"/>
      <c r="B26" s="145"/>
      <c r="C26" s="146"/>
      <c r="D26" s="153" t="s">
        <v>328</v>
      </c>
      <c r="E26" s="152"/>
      <c r="F26" s="148"/>
      <c r="G26" s="148"/>
      <c r="H26" s="148"/>
      <c r="I26" s="148"/>
      <c r="J26" s="148"/>
      <c r="K26" s="148"/>
      <c r="L26" s="148"/>
      <c r="M26" s="148"/>
      <c r="N26" s="148"/>
      <c r="O26" s="148"/>
      <c r="P26" s="148"/>
      <c r="Q26" s="148"/>
      <c r="R26" s="148" t="s">
        <v>231</v>
      </c>
      <c r="S26" s="148"/>
      <c r="T26" s="214"/>
    </row>
    <row r="27" ht="13.5" customHeight="1" spans="1:20">
      <c r="A27" s="144"/>
      <c r="B27" s="161"/>
      <c r="C27" s="162"/>
      <c r="D27" s="163"/>
      <c r="E27" s="164"/>
      <c r="F27" s="165"/>
      <c r="G27" s="165"/>
      <c r="H27" s="165"/>
      <c r="I27" s="165"/>
      <c r="J27" s="165"/>
      <c r="K27" s="165"/>
      <c r="L27" s="165"/>
      <c r="M27" s="165"/>
      <c r="N27" s="165"/>
      <c r="O27" s="165"/>
      <c r="P27" s="165"/>
      <c r="Q27" s="165"/>
      <c r="R27" s="165"/>
      <c r="S27" s="165"/>
      <c r="T27" s="217"/>
    </row>
    <row r="28" ht="13.5" customHeight="1" spans="1:20">
      <c r="A28" s="166" t="s">
        <v>245</v>
      </c>
      <c r="B28" s="167" t="s">
        <v>246</v>
      </c>
      <c r="C28" s="168"/>
      <c r="D28" s="169"/>
      <c r="E28" s="170"/>
      <c r="F28" s="143"/>
      <c r="G28" s="143"/>
      <c r="H28" s="143"/>
      <c r="I28" s="143"/>
      <c r="J28" s="143"/>
      <c r="K28" s="143"/>
      <c r="L28" s="143"/>
      <c r="M28" s="143"/>
      <c r="N28" s="143"/>
      <c r="O28" s="143"/>
      <c r="P28" s="143"/>
      <c r="Q28" s="143"/>
      <c r="R28" s="143"/>
      <c r="S28" s="143"/>
      <c r="T28" s="213"/>
    </row>
    <row r="29" ht="13.5" customHeight="1" spans="1:20">
      <c r="A29" s="171"/>
      <c r="B29" s="172"/>
      <c r="C29" s="173"/>
      <c r="D29" s="174" t="s">
        <v>370</v>
      </c>
      <c r="E29" s="175"/>
      <c r="F29" s="148" t="s">
        <v>231</v>
      </c>
      <c r="G29" s="148"/>
      <c r="H29" s="148"/>
      <c r="I29" s="148" t="s">
        <v>231</v>
      </c>
      <c r="J29" s="148" t="s">
        <v>231</v>
      </c>
      <c r="K29" s="148"/>
      <c r="L29" s="148"/>
      <c r="M29" s="148"/>
      <c r="N29" s="148"/>
      <c r="O29" s="148" t="s">
        <v>231</v>
      </c>
      <c r="P29" s="148" t="s">
        <v>231</v>
      </c>
      <c r="Q29" s="148"/>
      <c r="R29" s="148"/>
      <c r="S29" s="148"/>
      <c r="T29" s="214"/>
    </row>
    <row r="30" ht="13.5" customHeight="1" spans="1:20">
      <c r="A30" s="171"/>
      <c r="B30" s="172"/>
      <c r="C30" s="173"/>
      <c r="D30" s="174" t="s">
        <v>371</v>
      </c>
      <c r="E30" s="175"/>
      <c r="F30" s="148"/>
      <c r="G30" s="148" t="s">
        <v>231</v>
      </c>
      <c r="H30" s="148" t="s">
        <v>231</v>
      </c>
      <c r="I30" s="148"/>
      <c r="J30" s="148"/>
      <c r="K30" s="148" t="s">
        <v>231</v>
      </c>
      <c r="L30" s="148"/>
      <c r="M30" s="148" t="s">
        <v>231</v>
      </c>
      <c r="N30" s="148"/>
      <c r="O30" s="148"/>
      <c r="P30" s="148"/>
      <c r="Q30" s="148" t="s">
        <v>231</v>
      </c>
      <c r="R30" s="148"/>
      <c r="S30" s="148"/>
      <c r="T30" s="214"/>
    </row>
    <row r="31" ht="13.5" customHeight="1" spans="1:20">
      <c r="A31" s="171"/>
      <c r="B31" s="172"/>
      <c r="C31" s="176"/>
      <c r="D31" s="174" t="s">
        <v>372</v>
      </c>
      <c r="E31" s="177"/>
      <c r="F31" s="148"/>
      <c r="G31" s="148"/>
      <c r="H31" s="148"/>
      <c r="I31" s="148"/>
      <c r="J31" s="148"/>
      <c r="K31" s="148"/>
      <c r="L31" s="148" t="s">
        <v>231</v>
      </c>
      <c r="M31" s="148"/>
      <c r="N31" s="148" t="s">
        <v>231</v>
      </c>
      <c r="O31" s="148"/>
      <c r="P31" s="148"/>
      <c r="Q31" s="148"/>
      <c r="R31" s="148" t="s">
        <v>231</v>
      </c>
      <c r="S31" s="148"/>
      <c r="T31" s="214"/>
    </row>
    <row r="32" ht="13.5" customHeight="1" spans="1:20">
      <c r="A32" s="171"/>
      <c r="B32" s="172" t="s">
        <v>249</v>
      </c>
      <c r="C32" s="176"/>
      <c r="D32" s="174"/>
      <c r="E32" s="177"/>
      <c r="F32" s="148"/>
      <c r="G32" s="148"/>
      <c r="H32" s="148"/>
      <c r="I32" s="148"/>
      <c r="J32" s="148"/>
      <c r="K32" s="148"/>
      <c r="L32" s="148"/>
      <c r="M32" s="148"/>
      <c r="N32" s="148"/>
      <c r="O32" s="148"/>
      <c r="P32" s="148"/>
      <c r="Q32" s="148"/>
      <c r="R32" s="148"/>
      <c r="S32" s="148"/>
      <c r="T32" s="214"/>
    </row>
    <row r="33" ht="13.5" customHeight="1" spans="1:20">
      <c r="A33" s="171"/>
      <c r="B33" s="172"/>
      <c r="C33" s="176"/>
      <c r="D33" s="174"/>
      <c r="E33" s="177"/>
      <c r="F33" s="148"/>
      <c r="G33" s="148"/>
      <c r="H33" s="148"/>
      <c r="I33" s="148"/>
      <c r="J33" s="148"/>
      <c r="K33" s="148"/>
      <c r="L33" s="148"/>
      <c r="M33" s="148"/>
      <c r="N33" s="148"/>
      <c r="O33" s="148"/>
      <c r="P33" s="148"/>
      <c r="Q33" s="148"/>
      <c r="R33" s="148"/>
      <c r="S33" s="148"/>
      <c r="T33" s="214"/>
    </row>
    <row r="34" ht="13.5" customHeight="1" spans="1:20">
      <c r="A34" s="171"/>
      <c r="B34" s="172" t="s">
        <v>250</v>
      </c>
      <c r="C34" s="176"/>
      <c r="D34" s="174"/>
      <c r="E34" s="177"/>
      <c r="F34" s="148"/>
      <c r="G34" s="148"/>
      <c r="H34" s="148"/>
      <c r="I34" s="148"/>
      <c r="J34" s="148"/>
      <c r="K34" s="148"/>
      <c r="L34" s="148"/>
      <c r="M34" s="148"/>
      <c r="N34" s="148"/>
      <c r="O34" s="148"/>
      <c r="P34" s="148"/>
      <c r="Q34" s="148"/>
      <c r="R34" s="148"/>
      <c r="S34" s="148"/>
      <c r="T34" s="214"/>
    </row>
    <row r="35" ht="13.5" customHeight="1" spans="1:20">
      <c r="A35" s="171"/>
      <c r="B35" s="172"/>
      <c r="C35" s="176"/>
      <c r="D35" s="174" t="s">
        <v>370</v>
      </c>
      <c r="E35" s="177"/>
      <c r="F35" s="148"/>
      <c r="G35" s="148"/>
      <c r="H35" s="148"/>
      <c r="I35" s="148"/>
      <c r="J35" s="148"/>
      <c r="K35" s="148"/>
      <c r="L35" s="148"/>
      <c r="M35" s="148" t="s">
        <v>231</v>
      </c>
      <c r="N35" s="148" t="s">
        <v>231</v>
      </c>
      <c r="O35" s="148" t="s">
        <v>231</v>
      </c>
      <c r="P35" s="148" t="s">
        <v>231</v>
      </c>
      <c r="Q35" s="148"/>
      <c r="R35" s="148"/>
      <c r="S35" s="148"/>
      <c r="T35" s="214"/>
    </row>
    <row r="36" ht="13.5" customHeight="1" spans="1:20">
      <c r="A36" s="171"/>
      <c r="B36" s="178"/>
      <c r="C36" s="179"/>
      <c r="D36" s="180" t="s">
        <v>373</v>
      </c>
      <c r="E36" s="181"/>
      <c r="F36" s="159" t="s">
        <v>231</v>
      </c>
      <c r="G36" s="159"/>
      <c r="H36" s="159"/>
      <c r="I36" s="159"/>
      <c r="J36" s="159"/>
      <c r="K36" s="159"/>
      <c r="L36" s="159"/>
      <c r="M36" s="159"/>
      <c r="N36" s="159"/>
      <c r="O36" s="159"/>
      <c r="P36" s="159"/>
      <c r="Q36" s="159" t="s">
        <v>231</v>
      </c>
      <c r="R36" s="159"/>
      <c r="S36" s="159"/>
      <c r="T36" s="216"/>
    </row>
    <row r="37" ht="13.5" customHeight="1" spans="1:20">
      <c r="A37" s="171"/>
      <c r="B37" s="178"/>
      <c r="C37" s="179"/>
      <c r="D37" s="180" t="s">
        <v>374</v>
      </c>
      <c r="E37" s="181"/>
      <c r="F37" s="159"/>
      <c r="G37" s="159"/>
      <c r="H37" s="159"/>
      <c r="I37" s="159"/>
      <c r="J37" s="159" t="s">
        <v>231</v>
      </c>
      <c r="K37" s="159"/>
      <c r="L37" s="159"/>
      <c r="M37" s="159"/>
      <c r="N37" s="159"/>
      <c r="O37" s="159"/>
      <c r="P37" s="159"/>
      <c r="Q37" s="159"/>
      <c r="R37" s="159" t="s">
        <v>231</v>
      </c>
      <c r="S37" s="159"/>
      <c r="T37" s="216"/>
    </row>
    <row r="38" ht="13.5" customHeight="1" spans="1:20">
      <c r="A38" s="171"/>
      <c r="B38" s="178"/>
      <c r="C38" s="179"/>
      <c r="D38" s="180"/>
      <c r="E38" s="181"/>
      <c r="F38" s="159"/>
      <c r="G38" s="159" t="s">
        <v>231</v>
      </c>
      <c r="H38" s="159"/>
      <c r="I38" s="159"/>
      <c r="J38" s="159"/>
      <c r="K38" s="159"/>
      <c r="L38" s="159"/>
      <c r="M38" s="159"/>
      <c r="N38" s="159"/>
      <c r="O38" s="159"/>
      <c r="P38" s="159"/>
      <c r="Q38" s="159"/>
      <c r="R38" s="159"/>
      <c r="S38" s="159"/>
      <c r="T38" s="216"/>
    </row>
    <row r="39" ht="13.5" customHeight="1" spans="1:20">
      <c r="A39" s="171"/>
      <c r="B39" s="178"/>
      <c r="C39" s="182"/>
      <c r="D39" s="180"/>
      <c r="E39" s="183"/>
      <c r="F39" s="159"/>
      <c r="G39" s="159"/>
      <c r="H39" s="159" t="s">
        <v>231</v>
      </c>
      <c r="I39" s="159" t="s">
        <v>231</v>
      </c>
      <c r="J39" s="159"/>
      <c r="K39" s="159" t="s">
        <v>231</v>
      </c>
      <c r="L39" s="159" t="s">
        <v>231</v>
      </c>
      <c r="M39" s="159"/>
      <c r="N39" s="159"/>
      <c r="O39" s="159"/>
      <c r="P39" s="159"/>
      <c r="Q39" s="159"/>
      <c r="R39" s="159"/>
      <c r="S39" s="159"/>
      <c r="T39" s="216"/>
    </row>
    <row r="40" ht="13.5" customHeight="1" spans="1:20">
      <c r="A40" s="166" t="s">
        <v>255</v>
      </c>
      <c r="B40" s="184" t="s">
        <v>256</v>
      </c>
      <c r="C40" s="184"/>
      <c r="D40" s="184"/>
      <c r="E40" s="184"/>
      <c r="F40" s="185" t="s">
        <v>197</v>
      </c>
      <c r="G40" s="185" t="s">
        <v>197</v>
      </c>
      <c r="H40" s="185" t="s">
        <v>197</v>
      </c>
      <c r="I40" s="185" t="s">
        <v>197</v>
      </c>
      <c r="J40" s="185" t="s">
        <v>197</v>
      </c>
      <c r="K40" s="185" t="s">
        <v>197</v>
      </c>
      <c r="L40" s="185" t="s">
        <v>197</v>
      </c>
      <c r="M40" s="185" t="s">
        <v>197</v>
      </c>
      <c r="N40" s="185" t="s">
        <v>197</v>
      </c>
      <c r="O40" s="185" t="s">
        <v>197</v>
      </c>
      <c r="P40" s="185" t="s">
        <v>197</v>
      </c>
      <c r="Q40" s="185" t="s">
        <v>197</v>
      </c>
      <c r="R40" s="185" t="s">
        <v>197</v>
      </c>
      <c r="S40" s="185"/>
      <c r="T40" s="218"/>
    </row>
    <row r="41" ht="13.5" customHeight="1" spans="1:20">
      <c r="A41" s="171"/>
      <c r="B41" s="186" t="s">
        <v>257</v>
      </c>
      <c r="C41" s="186"/>
      <c r="D41" s="186"/>
      <c r="E41" s="187"/>
      <c r="F41" s="188" t="s">
        <v>258</v>
      </c>
      <c r="G41" s="188" t="s">
        <v>258</v>
      </c>
      <c r="H41" s="188" t="s">
        <v>258</v>
      </c>
      <c r="I41" s="188" t="s">
        <v>258</v>
      </c>
      <c r="J41" s="188" t="s">
        <v>258</v>
      </c>
      <c r="K41" s="188" t="s">
        <v>258</v>
      </c>
      <c r="L41" s="188" t="s">
        <v>258</v>
      </c>
      <c r="M41" s="188" t="s">
        <v>258</v>
      </c>
      <c r="N41" s="188" t="s">
        <v>258</v>
      </c>
      <c r="O41" s="188" t="s">
        <v>258</v>
      </c>
      <c r="P41" s="188" t="s">
        <v>258</v>
      </c>
      <c r="Q41" s="188" t="s">
        <v>258</v>
      </c>
      <c r="R41" s="188" t="s">
        <v>258</v>
      </c>
      <c r="S41" s="188"/>
      <c r="T41" s="219"/>
    </row>
    <row r="42" ht="13.5" customHeight="1" spans="1:20">
      <c r="A42" s="171"/>
      <c r="B42" s="189" t="s">
        <v>259</v>
      </c>
      <c r="C42" s="189"/>
      <c r="D42" s="189"/>
      <c r="E42" s="190"/>
      <c r="F42" s="191">
        <v>44165</v>
      </c>
      <c r="G42" s="191">
        <v>44165</v>
      </c>
      <c r="H42" s="191">
        <v>44165</v>
      </c>
      <c r="I42" s="191">
        <v>44165</v>
      </c>
      <c r="J42" s="191">
        <v>44165</v>
      </c>
      <c r="K42" s="191">
        <v>44165</v>
      </c>
      <c r="L42" s="191">
        <v>44165</v>
      </c>
      <c r="M42" s="191">
        <v>44165</v>
      </c>
      <c r="N42" s="191">
        <v>44165</v>
      </c>
      <c r="O42" s="191">
        <v>44165</v>
      </c>
      <c r="P42" s="191">
        <v>44165</v>
      </c>
      <c r="Q42" s="191">
        <v>44165</v>
      </c>
      <c r="R42" s="191">
        <v>44165</v>
      </c>
      <c r="S42" s="191"/>
      <c r="T42" s="220"/>
    </row>
    <row r="43" ht="13.95" spans="1:20">
      <c r="A43" s="192"/>
      <c r="B43" s="193" t="s">
        <v>260</v>
      </c>
      <c r="C43" s="193"/>
      <c r="D43" s="193"/>
      <c r="E43" s="194"/>
      <c r="F43" s="195"/>
      <c r="G43" s="195"/>
      <c r="H43" s="195"/>
      <c r="I43" s="195"/>
      <c r="J43" s="195"/>
      <c r="K43" s="195"/>
      <c r="L43" s="195"/>
      <c r="M43" s="195"/>
      <c r="N43" s="195"/>
      <c r="O43" s="195"/>
      <c r="P43" s="195"/>
      <c r="Q43" s="195"/>
      <c r="R43" s="195"/>
      <c r="S43" s="195"/>
      <c r="T43" s="221"/>
    </row>
    <row r="44" ht="13.95" spans="1:1">
      <c r="A44"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40:D40"/>
    <mergeCell ref="B41:D41"/>
    <mergeCell ref="B42:D42"/>
    <mergeCell ref="B43:D43"/>
  </mergeCells>
  <dataValidations count="3">
    <dataValidation type="list" allowBlank="1" showErrorMessage="1" sqref="F40:T40">
      <formula1>"N,A,B,"</formula1>
    </dataValidation>
    <dataValidation type="list" allowBlank="1" showErrorMessage="1" sqref="F41:T41">
      <formula1>"P,F,"</formula1>
    </dataValidation>
    <dataValidation type="list" allowBlank="1" showErrorMessage="1" sqref="F10:T39">
      <formula1>"O,"</formula1>
    </dataValidation>
  </dataValidations>
  <pageMargins left="0.7" right="0.7" top="0.75" bottom="0.75" header="0.3" footer="0.3"/>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5"/>
  <sheetViews>
    <sheetView workbookViewId="0">
      <selection activeCell="A1" sqref="A1"/>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112.648148148148" style="116" customWidth="1"/>
    <col min="5" max="5" width="1.10185185185185" style="114" hidden="1" customWidth="1"/>
    <col min="6" max="21" width="2.76851851851852" style="114" customWidth="1"/>
    <col min="22" max="257" width="8.99074074074074" style="114"/>
  </cols>
  <sheetData>
    <row r="1" ht="13.5" customHeight="1" spans="1:4">
      <c r="A1" s="117"/>
      <c r="B1" s="118"/>
      <c r="D1" s="119"/>
    </row>
    <row r="2" ht="13.5" customHeight="1" spans="1:22">
      <c r="A2" s="120" t="s">
        <v>207</v>
      </c>
      <c r="B2" s="120"/>
      <c r="C2" s="121" t="s">
        <v>375</v>
      </c>
      <c r="D2" s="121"/>
      <c r="E2" s="121"/>
      <c r="F2" s="122" t="s">
        <v>119</v>
      </c>
      <c r="G2" s="122"/>
      <c r="H2" s="122"/>
      <c r="I2" s="122"/>
      <c r="J2" s="122"/>
      <c r="K2" s="122"/>
      <c r="L2" s="197" t="s">
        <v>168</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15.75" customHeight="1" spans="1:22">
      <c r="A4" s="123" t="s">
        <v>211</v>
      </c>
      <c r="B4" s="123"/>
      <c r="C4" s="126">
        <v>36</v>
      </c>
      <c r="D4" s="126"/>
      <c r="E4" s="127"/>
      <c r="F4" s="125" t="s">
        <v>212</v>
      </c>
      <c r="G4" s="125"/>
      <c r="H4" s="125"/>
      <c r="I4" s="125"/>
      <c r="J4" s="125"/>
      <c r="K4" s="125"/>
      <c r="L4" s="200">
        <v>6</v>
      </c>
      <c r="M4" s="200"/>
      <c r="N4" s="200"/>
      <c r="O4" s="200"/>
      <c r="P4" s="200"/>
      <c r="Q4" s="200"/>
      <c r="R4" s="200"/>
      <c r="S4" s="200"/>
      <c r="T4" s="200"/>
      <c r="V4" s="206"/>
    </row>
    <row r="5" ht="15.75" customHeight="1" spans="1:20">
      <c r="A5" s="123" t="s">
        <v>213</v>
      </c>
      <c r="B5" s="123"/>
      <c r="C5" s="128" t="s">
        <v>376</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COUNTIF(F42:HQ42,"P")</f>
        <v>6</v>
      </c>
      <c r="B7" s="131"/>
      <c r="C7" s="132">
        <f>COUNTIF(F42:HQ42,"F")</f>
        <v>0</v>
      </c>
      <c r="D7" s="132"/>
      <c r="E7" s="132"/>
      <c r="F7" s="132">
        <f>SUM(O7,-A7,-C7)</f>
        <v>0</v>
      </c>
      <c r="G7" s="132"/>
      <c r="H7" s="132"/>
      <c r="I7" s="132"/>
      <c r="J7" s="132"/>
      <c r="K7" s="132"/>
      <c r="L7" s="203">
        <f>COUNTIF(E41:HQ41,"N")</f>
        <v>6</v>
      </c>
      <c r="M7" s="203">
        <f>COUNTIF(E41:HQ41,"A")</f>
        <v>0</v>
      </c>
      <c r="N7" s="203">
        <f>COUNTIF(E41:HQ41,"B")</f>
        <v>0</v>
      </c>
      <c r="O7" s="204">
        <f>COUNTA(E9:HT9)</f>
        <v>6</v>
      </c>
      <c r="P7" s="204"/>
      <c r="Q7" s="204"/>
      <c r="R7" s="204"/>
      <c r="S7" s="204"/>
      <c r="T7" s="204"/>
      <c r="U7" s="208"/>
    </row>
    <row r="8" ht="13.95"/>
    <row r="9" ht="46.5" customHeight="1" spans="1:23">
      <c r="A9" s="133"/>
      <c r="B9" s="134"/>
      <c r="C9" s="135"/>
      <c r="D9" s="136"/>
      <c r="E9" s="135"/>
      <c r="F9" s="137" t="s">
        <v>216</v>
      </c>
      <c r="G9" s="137" t="s">
        <v>217</v>
      </c>
      <c r="H9" s="137" t="s">
        <v>218</v>
      </c>
      <c r="I9" s="137" t="s">
        <v>219</v>
      </c>
      <c r="J9" s="137" t="s">
        <v>220</v>
      </c>
      <c r="K9" s="137" t="s">
        <v>221</v>
      </c>
      <c r="L9" s="137"/>
      <c r="M9" s="137"/>
      <c r="N9" s="137"/>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289</v>
      </c>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t="s">
        <v>143</v>
      </c>
      <c r="D13" s="147"/>
      <c r="E13" s="150"/>
      <c r="F13" s="148"/>
      <c r="G13" s="148"/>
      <c r="H13" s="148"/>
      <c r="I13" s="148"/>
      <c r="J13" s="148"/>
      <c r="K13" s="148"/>
      <c r="L13" s="148"/>
      <c r="M13" s="148"/>
      <c r="N13" s="148"/>
      <c r="O13" s="148"/>
      <c r="P13" s="148"/>
      <c r="Q13" s="148"/>
      <c r="R13" s="148"/>
      <c r="S13" s="148"/>
      <c r="T13" s="214"/>
    </row>
    <row r="14" ht="13.5" customHeight="1" spans="1:20">
      <c r="A14" s="144"/>
      <c r="B14" s="145"/>
      <c r="C14" s="146"/>
      <c r="D14" s="151" t="s">
        <v>229</v>
      </c>
      <c r="E14" s="152"/>
      <c r="F14" s="148"/>
      <c r="G14" s="148"/>
      <c r="H14" s="148"/>
      <c r="I14" s="148"/>
      <c r="J14" s="148"/>
      <c r="K14" s="148"/>
      <c r="L14" s="148"/>
      <c r="M14" s="148"/>
      <c r="N14" s="148"/>
      <c r="O14" s="148"/>
      <c r="P14" s="148"/>
      <c r="Q14" s="148"/>
      <c r="R14" s="148"/>
      <c r="S14" s="148"/>
      <c r="T14" s="214"/>
    </row>
    <row r="15" ht="13.5" customHeight="1" spans="1:20">
      <c r="A15" s="144"/>
      <c r="B15" s="145"/>
      <c r="C15" s="146"/>
      <c r="D15" s="153" t="s">
        <v>230</v>
      </c>
      <c r="E15" s="152"/>
      <c r="F15" s="148" t="s">
        <v>231</v>
      </c>
      <c r="G15" s="148"/>
      <c r="H15" s="148"/>
      <c r="I15" s="148"/>
      <c r="J15" s="148"/>
      <c r="K15" s="148"/>
      <c r="L15" s="148"/>
      <c r="M15" s="148"/>
      <c r="N15" s="148"/>
      <c r="O15" s="148"/>
      <c r="P15" s="148"/>
      <c r="Q15" s="148"/>
      <c r="R15" s="148"/>
      <c r="S15" s="148"/>
      <c r="T15" s="214"/>
    </row>
    <row r="16" ht="13.5" customHeight="1" spans="1:20">
      <c r="A16" s="144"/>
      <c r="B16" s="145"/>
      <c r="C16" s="146"/>
      <c r="D16" s="153" t="s">
        <v>232</v>
      </c>
      <c r="E16" s="152"/>
      <c r="F16" s="148"/>
      <c r="G16" s="148" t="s">
        <v>231</v>
      </c>
      <c r="H16" s="148"/>
      <c r="I16" s="148"/>
      <c r="J16" s="148"/>
      <c r="K16" s="148"/>
      <c r="L16" s="148"/>
      <c r="M16" s="148"/>
      <c r="N16" s="148"/>
      <c r="O16" s="148"/>
      <c r="P16" s="148"/>
      <c r="Q16" s="148"/>
      <c r="R16" s="148"/>
      <c r="S16" s="148"/>
      <c r="T16" s="214"/>
    </row>
    <row r="17" ht="13.5" customHeight="1" spans="1:20">
      <c r="A17" s="144"/>
      <c r="B17" s="145"/>
      <c r="C17" s="146"/>
      <c r="D17" s="153" t="s">
        <v>267</v>
      </c>
      <c r="E17" s="152"/>
      <c r="F17" s="148"/>
      <c r="G17" s="148"/>
      <c r="H17" s="148" t="s">
        <v>231</v>
      </c>
      <c r="I17" s="148"/>
      <c r="J17" s="148"/>
      <c r="K17" s="148"/>
      <c r="L17" s="148"/>
      <c r="M17" s="148"/>
      <c r="N17" s="148"/>
      <c r="O17" s="148"/>
      <c r="P17" s="148"/>
      <c r="Q17" s="148"/>
      <c r="R17" s="148"/>
      <c r="S17" s="148"/>
      <c r="T17" s="214"/>
    </row>
    <row r="18" ht="13.5" customHeight="1" spans="1:20">
      <c r="A18" s="144"/>
      <c r="B18" s="145"/>
      <c r="C18" s="146"/>
      <c r="D18" s="153" t="s">
        <v>265</v>
      </c>
      <c r="E18" s="152"/>
      <c r="F18" s="148"/>
      <c r="G18" s="148"/>
      <c r="H18" s="148"/>
      <c r="I18" s="148" t="s">
        <v>231</v>
      </c>
      <c r="J18" s="148"/>
      <c r="K18" s="148"/>
      <c r="L18" s="148"/>
      <c r="M18" s="148"/>
      <c r="N18" s="205"/>
      <c r="O18" s="148"/>
      <c r="P18" s="148"/>
      <c r="Q18" s="148"/>
      <c r="R18" s="148"/>
      <c r="S18" s="148"/>
      <c r="T18" s="214"/>
    </row>
    <row r="19" ht="13.5" customHeight="1" spans="1:20">
      <c r="A19" s="144"/>
      <c r="B19" s="145"/>
      <c r="C19" s="146"/>
      <c r="D19" s="154" t="s">
        <v>266</v>
      </c>
      <c r="E19" s="152"/>
      <c r="F19" s="148"/>
      <c r="G19" s="148"/>
      <c r="H19" s="148"/>
      <c r="I19" s="148"/>
      <c r="J19" s="148" t="s">
        <v>231</v>
      </c>
      <c r="K19" s="148"/>
      <c r="L19" s="148"/>
      <c r="M19" s="148"/>
      <c r="N19" s="148"/>
      <c r="O19" s="148"/>
      <c r="P19" s="148"/>
      <c r="Q19" s="148"/>
      <c r="R19" s="148"/>
      <c r="S19" s="148"/>
      <c r="T19" s="214"/>
    </row>
    <row r="20" ht="13.5" customHeight="1" spans="1:20">
      <c r="A20" s="144"/>
      <c r="B20" s="145"/>
      <c r="C20" s="146"/>
      <c r="D20" s="154" t="s">
        <v>377</v>
      </c>
      <c r="E20" s="152"/>
      <c r="F20" s="148"/>
      <c r="G20" s="148"/>
      <c r="H20" s="148"/>
      <c r="I20" s="148"/>
      <c r="J20" s="148"/>
      <c r="K20" s="148" t="s">
        <v>231</v>
      </c>
      <c r="L20" s="148"/>
      <c r="M20" s="148"/>
      <c r="N20" s="148"/>
      <c r="O20" s="148"/>
      <c r="P20" s="148"/>
      <c r="Q20" s="148"/>
      <c r="R20" s="148"/>
      <c r="S20" s="148"/>
      <c r="T20" s="214"/>
    </row>
    <row r="21" ht="13.5" customHeight="1" spans="1:20">
      <c r="A21" s="144"/>
      <c r="B21" s="145"/>
      <c r="C21" s="146"/>
      <c r="D21" s="155" t="s">
        <v>378</v>
      </c>
      <c r="E21" s="152"/>
      <c r="F21" s="148"/>
      <c r="G21" s="148"/>
      <c r="H21" s="148"/>
      <c r="I21" s="148"/>
      <c r="J21" s="148"/>
      <c r="K21" s="148"/>
      <c r="L21" s="148"/>
      <c r="M21" s="148"/>
      <c r="N21" s="148"/>
      <c r="O21" s="148"/>
      <c r="P21" s="148"/>
      <c r="Q21" s="148"/>
      <c r="R21" s="148"/>
      <c r="S21" s="148"/>
      <c r="T21" s="214"/>
    </row>
    <row r="22" ht="13.5" customHeight="1" spans="1:21">
      <c r="A22" s="144"/>
      <c r="B22" s="145"/>
      <c r="C22" s="146"/>
      <c r="D22" s="153" t="s">
        <v>230</v>
      </c>
      <c r="E22" s="152"/>
      <c r="F22" s="148" t="s">
        <v>231</v>
      </c>
      <c r="G22" s="148"/>
      <c r="H22" s="148"/>
      <c r="I22" s="148"/>
      <c r="J22" s="148"/>
      <c r="K22" s="148"/>
      <c r="L22" s="148"/>
      <c r="M22" s="148"/>
      <c r="N22" s="148"/>
      <c r="O22" s="148"/>
      <c r="P22" s="148"/>
      <c r="Q22" s="148"/>
      <c r="R22" s="148"/>
      <c r="S22" s="148"/>
      <c r="T22" s="214"/>
      <c r="U22" s="215"/>
    </row>
    <row r="23" ht="13.5" customHeight="1" spans="1:20">
      <c r="A23" s="144"/>
      <c r="B23" s="145"/>
      <c r="C23" s="149"/>
      <c r="D23" s="153" t="s">
        <v>379</v>
      </c>
      <c r="E23" s="152"/>
      <c r="F23" s="148"/>
      <c r="G23" s="148" t="s">
        <v>231</v>
      </c>
      <c r="H23" s="148"/>
      <c r="I23" s="148"/>
      <c r="J23" s="148"/>
      <c r="K23" s="148"/>
      <c r="L23" s="148"/>
      <c r="M23" s="148"/>
      <c r="N23" s="148"/>
      <c r="O23" s="148"/>
      <c r="P23" s="148"/>
      <c r="Q23" s="148"/>
      <c r="R23" s="148"/>
      <c r="S23" s="148"/>
      <c r="T23" s="214"/>
    </row>
    <row r="24" ht="13.5" customHeight="1" spans="1:20">
      <c r="A24" s="144"/>
      <c r="B24" s="145"/>
      <c r="C24" s="146"/>
      <c r="D24" s="153" t="s">
        <v>380</v>
      </c>
      <c r="E24" s="152"/>
      <c r="F24" s="148"/>
      <c r="G24" s="148"/>
      <c r="H24" s="148" t="s">
        <v>231</v>
      </c>
      <c r="I24" s="148"/>
      <c r="J24" s="148"/>
      <c r="K24" s="148"/>
      <c r="L24" s="148"/>
      <c r="M24" s="148"/>
      <c r="N24" s="148"/>
      <c r="O24" s="148"/>
      <c r="P24" s="148"/>
      <c r="Q24" s="148"/>
      <c r="R24" s="148"/>
      <c r="S24" s="148"/>
      <c r="T24" s="214"/>
    </row>
    <row r="25" ht="13.5" customHeight="1" spans="1:20">
      <c r="A25" s="144"/>
      <c r="B25" s="145"/>
      <c r="C25" s="146"/>
      <c r="D25" s="153" t="s">
        <v>379</v>
      </c>
      <c r="E25" s="152"/>
      <c r="F25" s="148"/>
      <c r="G25" s="148"/>
      <c r="H25" s="148"/>
      <c r="I25" s="148" t="s">
        <v>231</v>
      </c>
      <c r="J25" s="148"/>
      <c r="K25" s="148"/>
      <c r="L25" s="148"/>
      <c r="M25" s="148"/>
      <c r="N25" s="148"/>
      <c r="O25" s="148"/>
      <c r="P25" s="148"/>
      <c r="Q25" s="148"/>
      <c r="R25" s="148"/>
      <c r="S25" s="148"/>
      <c r="T25" s="214"/>
    </row>
    <row r="26" ht="13.5" customHeight="1" spans="1:20">
      <c r="A26" s="144"/>
      <c r="B26" s="145"/>
      <c r="C26" s="146"/>
      <c r="D26" s="153" t="s">
        <v>381</v>
      </c>
      <c r="E26" s="152"/>
      <c r="F26" s="148"/>
      <c r="G26" s="148"/>
      <c r="H26" s="148"/>
      <c r="I26" s="148"/>
      <c r="J26" s="148" t="s">
        <v>231</v>
      </c>
      <c r="K26" s="148"/>
      <c r="L26" s="148"/>
      <c r="M26" s="148"/>
      <c r="N26" s="148"/>
      <c r="O26" s="148"/>
      <c r="P26" s="148"/>
      <c r="Q26" s="148"/>
      <c r="R26" s="148"/>
      <c r="S26" s="148"/>
      <c r="T26" s="214"/>
    </row>
    <row r="27" ht="13.5" customHeight="1" spans="1:20">
      <c r="A27" s="144"/>
      <c r="B27" s="156"/>
      <c r="C27" s="157"/>
      <c r="D27" s="158" t="s">
        <v>382</v>
      </c>
      <c r="E27" s="152"/>
      <c r="F27" s="159"/>
      <c r="G27" s="159"/>
      <c r="H27" s="159"/>
      <c r="I27" s="159"/>
      <c r="J27" s="159"/>
      <c r="K27" s="159" t="s">
        <v>231</v>
      </c>
      <c r="L27" s="159"/>
      <c r="M27" s="159"/>
      <c r="N27" s="159"/>
      <c r="O27" s="159"/>
      <c r="P27" s="159"/>
      <c r="Q27" s="159"/>
      <c r="R27" s="159"/>
      <c r="S27" s="159"/>
      <c r="T27" s="216"/>
    </row>
    <row r="28" ht="13.5" customHeight="1" spans="1:20">
      <c r="A28" s="144"/>
      <c r="B28" s="156"/>
      <c r="C28" s="157"/>
      <c r="D28" s="160"/>
      <c r="E28" s="152"/>
      <c r="F28" s="159"/>
      <c r="G28" s="159"/>
      <c r="H28" s="159"/>
      <c r="I28" s="159"/>
      <c r="J28" s="159"/>
      <c r="K28" s="159"/>
      <c r="L28" s="159"/>
      <c r="M28" s="159"/>
      <c r="N28" s="159"/>
      <c r="O28" s="159"/>
      <c r="P28" s="159"/>
      <c r="Q28" s="159"/>
      <c r="R28" s="159"/>
      <c r="S28" s="159"/>
      <c r="T28" s="216"/>
    </row>
    <row r="29" ht="13.5" customHeight="1" spans="1:20">
      <c r="A29" s="144"/>
      <c r="B29" s="161"/>
      <c r="C29" s="162"/>
      <c r="D29" s="163"/>
      <c r="E29" s="164"/>
      <c r="F29" s="165"/>
      <c r="G29" s="165"/>
      <c r="H29" s="165"/>
      <c r="I29" s="165"/>
      <c r="J29" s="165"/>
      <c r="K29" s="165"/>
      <c r="L29" s="165"/>
      <c r="M29" s="165"/>
      <c r="N29" s="165"/>
      <c r="O29" s="165"/>
      <c r="P29" s="165"/>
      <c r="Q29" s="165"/>
      <c r="R29" s="165"/>
      <c r="S29" s="165"/>
      <c r="T29" s="217"/>
    </row>
    <row r="30" ht="13.5" customHeight="1" spans="1:20">
      <c r="A30" s="166" t="s">
        <v>245</v>
      </c>
      <c r="B30" s="167" t="s">
        <v>246</v>
      </c>
      <c r="C30" s="168"/>
      <c r="D30" s="169"/>
      <c r="E30" s="170"/>
      <c r="F30" s="143"/>
      <c r="G30" s="143"/>
      <c r="H30" s="143"/>
      <c r="I30" s="143"/>
      <c r="J30" s="143"/>
      <c r="K30" s="143"/>
      <c r="L30" s="143"/>
      <c r="M30" s="143"/>
      <c r="N30" s="143"/>
      <c r="O30" s="143"/>
      <c r="P30" s="143"/>
      <c r="Q30" s="143"/>
      <c r="R30" s="143"/>
      <c r="S30" s="143"/>
      <c r="T30" s="213"/>
    </row>
    <row r="31" ht="13.5" customHeight="1" spans="1:20">
      <c r="A31" s="171"/>
      <c r="B31" s="172"/>
      <c r="C31" s="173"/>
      <c r="D31" s="174" t="s">
        <v>247</v>
      </c>
      <c r="E31" s="175"/>
      <c r="F31" s="148"/>
      <c r="G31" s="148"/>
      <c r="H31" s="148" t="s">
        <v>231</v>
      </c>
      <c r="I31" s="148"/>
      <c r="J31" s="148"/>
      <c r="K31" s="148"/>
      <c r="L31" s="148"/>
      <c r="M31" s="148"/>
      <c r="N31" s="148"/>
      <c r="O31" s="148"/>
      <c r="P31" s="148"/>
      <c r="Q31" s="148"/>
      <c r="R31" s="148"/>
      <c r="S31" s="148"/>
      <c r="T31" s="214"/>
    </row>
    <row r="32" ht="13.5" customHeight="1" spans="1:20">
      <c r="A32" s="171"/>
      <c r="B32" s="172"/>
      <c r="C32" s="176"/>
      <c r="D32" s="174" t="s">
        <v>248</v>
      </c>
      <c r="E32" s="177"/>
      <c r="F32" s="148" t="s">
        <v>231</v>
      </c>
      <c r="G32" s="148" t="s">
        <v>231</v>
      </c>
      <c r="H32" s="148"/>
      <c r="I32" s="148" t="s">
        <v>231</v>
      </c>
      <c r="J32" s="148" t="s">
        <v>231</v>
      </c>
      <c r="K32" s="148" t="s">
        <v>231</v>
      </c>
      <c r="L32" s="148"/>
      <c r="M32" s="148"/>
      <c r="N32" s="148"/>
      <c r="O32" s="148"/>
      <c r="P32" s="148"/>
      <c r="Q32" s="148"/>
      <c r="R32" s="148"/>
      <c r="S32" s="148"/>
      <c r="T32" s="214"/>
    </row>
    <row r="33" ht="13.5" customHeight="1" spans="1:20">
      <c r="A33" s="171"/>
      <c r="B33" s="172" t="s">
        <v>249</v>
      </c>
      <c r="C33" s="176"/>
      <c r="D33" s="174"/>
      <c r="E33" s="177"/>
      <c r="F33" s="148"/>
      <c r="G33" s="148"/>
      <c r="H33" s="148"/>
      <c r="I33" s="148"/>
      <c r="J33" s="148"/>
      <c r="K33" s="148"/>
      <c r="L33" s="148"/>
      <c r="M33" s="148"/>
      <c r="N33" s="148"/>
      <c r="O33" s="148"/>
      <c r="P33" s="148"/>
      <c r="Q33" s="148"/>
      <c r="R33" s="148"/>
      <c r="S33" s="148"/>
      <c r="T33" s="214"/>
    </row>
    <row r="34" ht="13.5" customHeight="1" spans="1:20">
      <c r="A34" s="171"/>
      <c r="B34" s="172"/>
      <c r="C34" s="176"/>
      <c r="D34" s="174"/>
      <c r="E34" s="177"/>
      <c r="F34" s="148"/>
      <c r="G34" s="148"/>
      <c r="H34" s="148"/>
      <c r="I34" s="148"/>
      <c r="J34" s="148"/>
      <c r="K34" s="148"/>
      <c r="L34" s="148"/>
      <c r="M34" s="148"/>
      <c r="N34" s="148"/>
      <c r="O34" s="148"/>
      <c r="P34" s="148"/>
      <c r="Q34" s="148"/>
      <c r="R34" s="148"/>
      <c r="S34" s="148"/>
      <c r="T34" s="214"/>
    </row>
    <row r="35" ht="13.5" customHeight="1" spans="1:20">
      <c r="A35" s="171"/>
      <c r="B35" s="172" t="s">
        <v>250</v>
      </c>
      <c r="C35" s="176"/>
      <c r="D35" s="174"/>
      <c r="E35" s="177"/>
      <c r="F35" s="148"/>
      <c r="G35" s="148"/>
      <c r="H35" s="148"/>
      <c r="I35" s="148"/>
      <c r="J35" s="148"/>
      <c r="K35" s="148"/>
      <c r="L35" s="148"/>
      <c r="M35" s="148"/>
      <c r="N35" s="148"/>
      <c r="O35" s="148"/>
      <c r="P35" s="148"/>
      <c r="Q35" s="148"/>
      <c r="R35" s="148"/>
      <c r="S35" s="148"/>
      <c r="T35" s="214"/>
    </row>
    <row r="36" ht="13.5" customHeight="1" spans="1:20">
      <c r="A36" s="171"/>
      <c r="B36" s="172"/>
      <c r="C36" s="176"/>
      <c r="D36" s="174" t="s">
        <v>383</v>
      </c>
      <c r="E36" s="177"/>
      <c r="F36" s="148"/>
      <c r="G36" s="148"/>
      <c r="H36" s="148" t="s">
        <v>231</v>
      </c>
      <c r="I36" s="148"/>
      <c r="J36" s="148"/>
      <c r="K36" s="148"/>
      <c r="L36" s="148"/>
      <c r="M36" s="148"/>
      <c r="N36" s="148"/>
      <c r="O36" s="148"/>
      <c r="P36" s="148"/>
      <c r="Q36" s="148"/>
      <c r="R36" s="148"/>
      <c r="S36" s="148"/>
      <c r="T36" s="214"/>
    </row>
    <row r="37" ht="13.5" customHeight="1" spans="1:20">
      <c r="A37" s="171"/>
      <c r="B37" s="178"/>
      <c r="C37" s="179"/>
      <c r="D37" s="180" t="s">
        <v>251</v>
      </c>
      <c r="E37" s="181"/>
      <c r="F37" s="159" t="s">
        <v>231</v>
      </c>
      <c r="G37" s="159"/>
      <c r="H37" s="159"/>
      <c r="I37" s="159"/>
      <c r="J37" s="159"/>
      <c r="K37" s="159"/>
      <c r="L37" s="159"/>
      <c r="M37" s="159"/>
      <c r="N37" s="159"/>
      <c r="O37" s="159"/>
      <c r="P37" s="159"/>
      <c r="Q37" s="159"/>
      <c r="R37" s="159"/>
      <c r="S37" s="159"/>
      <c r="T37" s="216"/>
    </row>
    <row r="38" ht="13.5" customHeight="1" spans="1:20">
      <c r="A38" s="171"/>
      <c r="B38" s="178"/>
      <c r="C38" s="179"/>
      <c r="D38" s="180" t="s">
        <v>384</v>
      </c>
      <c r="E38" s="181"/>
      <c r="F38" s="159"/>
      <c r="G38" s="159" t="s">
        <v>231</v>
      </c>
      <c r="H38" s="159"/>
      <c r="I38" s="159" t="s">
        <v>231</v>
      </c>
      <c r="J38" s="159"/>
      <c r="K38" s="159"/>
      <c r="L38" s="159"/>
      <c r="M38" s="159"/>
      <c r="N38" s="159"/>
      <c r="O38" s="159"/>
      <c r="P38" s="159"/>
      <c r="Q38" s="159"/>
      <c r="R38" s="159"/>
      <c r="S38" s="159"/>
      <c r="T38" s="216"/>
    </row>
    <row r="39" ht="13.5" customHeight="1" spans="1:20">
      <c r="A39" s="171"/>
      <c r="B39" s="178"/>
      <c r="C39" s="179"/>
      <c r="D39" s="180" t="s">
        <v>385</v>
      </c>
      <c r="E39" s="181"/>
      <c r="F39" s="159"/>
      <c r="G39" s="159"/>
      <c r="H39" s="159"/>
      <c r="I39" s="159"/>
      <c r="J39" s="159" t="s">
        <v>231</v>
      </c>
      <c r="K39" s="159"/>
      <c r="L39" s="159"/>
      <c r="M39" s="159"/>
      <c r="N39" s="159"/>
      <c r="O39" s="159"/>
      <c r="P39" s="159"/>
      <c r="Q39" s="159"/>
      <c r="R39" s="159"/>
      <c r="S39" s="159"/>
      <c r="T39" s="216"/>
    </row>
    <row r="40" ht="13.5" customHeight="1" spans="1:23">
      <c r="A40" s="171"/>
      <c r="B40" s="178"/>
      <c r="C40" s="182"/>
      <c r="D40" s="180" t="s">
        <v>386</v>
      </c>
      <c r="E40" s="183"/>
      <c r="F40" s="159"/>
      <c r="G40" s="159"/>
      <c r="H40" s="159"/>
      <c r="I40" s="159"/>
      <c r="J40" s="159"/>
      <c r="K40" s="159" t="s">
        <v>231</v>
      </c>
      <c r="L40" s="159"/>
      <c r="M40" s="159"/>
      <c r="N40" s="159"/>
      <c r="O40" s="159"/>
      <c r="P40" s="159"/>
      <c r="Q40" s="159"/>
      <c r="R40" s="159"/>
      <c r="S40" s="159"/>
      <c r="T40" s="216"/>
      <c r="W40" s="4"/>
    </row>
    <row r="41" ht="13.5" customHeight="1" spans="1:20">
      <c r="A41" s="166" t="s">
        <v>255</v>
      </c>
      <c r="B41" s="184" t="s">
        <v>256</v>
      </c>
      <c r="C41" s="184"/>
      <c r="D41" s="184"/>
      <c r="E41" s="184"/>
      <c r="F41" s="185" t="s">
        <v>197</v>
      </c>
      <c r="G41" s="185" t="s">
        <v>197</v>
      </c>
      <c r="H41" s="185" t="s">
        <v>197</v>
      </c>
      <c r="I41" s="185" t="s">
        <v>197</v>
      </c>
      <c r="J41" s="185" t="s">
        <v>197</v>
      </c>
      <c r="K41" s="185" t="s">
        <v>197</v>
      </c>
      <c r="L41" s="185"/>
      <c r="M41" s="185"/>
      <c r="N41" s="185"/>
      <c r="O41" s="185"/>
      <c r="P41" s="185"/>
      <c r="Q41" s="185"/>
      <c r="R41" s="185"/>
      <c r="S41" s="185"/>
      <c r="T41" s="218"/>
    </row>
    <row r="42" ht="13.5" customHeight="1" spans="1:20">
      <c r="A42" s="171"/>
      <c r="B42" s="186" t="s">
        <v>257</v>
      </c>
      <c r="C42" s="186"/>
      <c r="D42" s="186"/>
      <c r="E42" s="187"/>
      <c r="F42" s="188" t="s">
        <v>258</v>
      </c>
      <c r="G42" s="188" t="s">
        <v>258</v>
      </c>
      <c r="H42" s="188" t="s">
        <v>258</v>
      </c>
      <c r="I42" s="188" t="s">
        <v>258</v>
      </c>
      <c r="J42" s="188" t="s">
        <v>258</v>
      </c>
      <c r="K42" s="188" t="s">
        <v>258</v>
      </c>
      <c r="L42" s="188"/>
      <c r="M42" s="188"/>
      <c r="N42" s="188"/>
      <c r="O42" s="188"/>
      <c r="P42" s="188"/>
      <c r="Q42" s="188"/>
      <c r="R42" s="188"/>
      <c r="S42" s="188"/>
      <c r="T42" s="219"/>
    </row>
    <row r="43" ht="13.5" customHeight="1" spans="1:20">
      <c r="A43" s="171"/>
      <c r="B43" s="189" t="s">
        <v>259</v>
      </c>
      <c r="C43" s="189"/>
      <c r="D43" s="189"/>
      <c r="E43" s="190"/>
      <c r="F43" s="191">
        <v>44165</v>
      </c>
      <c r="G43" s="191">
        <v>44165</v>
      </c>
      <c r="H43" s="191">
        <v>44165</v>
      </c>
      <c r="I43" s="191">
        <v>44165</v>
      </c>
      <c r="J43" s="191">
        <v>44165</v>
      </c>
      <c r="K43" s="191">
        <v>44165</v>
      </c>
      <c r="L43" s="191"/>
      <c r="M43" s="191"/>
      <c r="N43" s="191"/>
      <c r="O43" s="191"/>
      <c r="P43" s="191"/>
      <c r="Q43" s="191"/>
      <c r="R43" s="191"/>
      <c r="S43" s="191"/>
      <c r="T43" s="220"/>
    </row>
    <row r="44" ht="13.95" spans="1:20">
      <c r="A44" s="192"/>
      <c r="B44" s="193" t="s">
        <v>260</v>
      </c>
      <c r="C44" s="193"/>
      <c r="D44" s="193"/>
      <c r="E44" s="194"/>
      <c r="F44" s="195"/>
      <c r="G44" s="195"/>
      <c r="H44" s="195"/>
      <c r="I44" s="195"/>
      <c r="J44" s="195"/>
      <c r="K44" s="195"/>
      <c r="L44" s="195"/>
      <c r="M44" s="195"/>
      <c r="N44" s="195"/>
      <c r="O44" s="195"/>
      <c r="P44" s="195"/>
      <c r="Q44" s="195"/>
      <c r="R44" s="195"/>
      <c r="S44" s="195"/>
      <c r="T44" s="221"/>
    </row>
    <row r="45" ht="13.95" spans="1:1">
      <c r="A45"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41:D41"/>
    <mergeCell ref="B42:D42"/>
    <mergeCell ref="B43:D43"/>
    <mergeCell ref="B44:D44"/>
  </mergeCells>
  <dataValidations count="3">
    <dataValidation type="list" allowBlank="1" showErrorMessage="1" sqref="F41:T41">
      <formula1>"N,A,B,"</formula1>
    </dataValidation>
    <dataValidation type="list" allowBlank="1" showErrorMessage="1" sqref="F42:T42">
      <formula1>"P,F,"</formula1>
    </dataValidation>
    <dataValidation type="list" allowBlank="1" showErrorMessage="1" sqref="F10:T40">
      <formula1>"O,"</formula1>
    </dataValidation>
  </dataValidations>
  <pageMargins left="0.7" right="0.7" top="0.75" bottom="0.75" header="0.3" footer="0.3"/>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5"/>
  <sheetViews>
    <sheetView workbookViewId="0">
      <selection activeCell="A1" sqref="A1"/>
    </sheetView>
  </sheetViews>
  <sheetFormatPr defaultColWidth="8.99074074074074" defaultRowHeight="13.2"/>
  <cols>
    <col min="1" max="1" width="8.10185185185185" style="4" customWidth="1"/>
    <col min="2" max="2" width="13.3333333333333" style="5" customWidth="1"/>
    <col min="3" max="3" width="10.6574074074074" style="4" customWidth="1"/>
    <col min="4" max="4" width="38.1018518518519" style="6" customWidth="1"/>
    <col min="5" max="5" width="1.10185185185185" style="4" hidden="1" customWidth="1"/>
    <col min="6" max="21" width="2.76851851851852" style="4" customWidth="1"/>
    <col min="22" max="257" width="8.99074074074074" style="4"/>
  </cols>
  <sheetData>
    <row r="1" ht="13.5" customHeight="1" spans="1:2">
      <c r="A1" s="7"/>
      <c r="B1" s="8"/>
    </row>
    <row r="2" ht="13.5" customHeight="1" spans="1:22">
      <c r="A2" s="9" t="s">
        <v>207</v>
      </c>
      <c r="B2" s="9"/>
      <c r="C2" s="10" t="s">
        <v>175</v>
      </c>
      <c r="D2" s="10"/>
      <c r="E2" s="10"/>
      <c r="F2" s="11" t="s">
        <v>119</v>
      </c>
      <c r="G2" s="11"/>
      <c r="H2" s="11"/>
      <c r="I2" s="11"/>
      <c r="J2" s="11"/>
      <c r="K2" s="11"/>
      <c r="L2" s="87" t="s">
        <v>174</v>
      </c>
      <c r="M2" s="87"/>
      <c r="N2" s="87"/>
      <c r="O2" s="87"/>
      <c r="P2" s="87"/>
      <c r="Q2" s="87"/>
      <c r="R2" s="87"/>
      <c r="S2" s="87"/>
      <c r="T2" s="87"/>
      <c r="V2" s="98"/>
    </row>
    <row r="3" ht="13.5" customHeight="1" spans="1:20">
      <c r="A3" s="12" t="s">
        <v>208</v>
      </c>
      <c r="B3" s="12"/>
      <c r="C3" s="13" t="s">
        <v>209</v>
      </c>
      <c r="D3" s="13"/>
      <c r="E3" s="13"/>
      <c r="F3" s="14" t="s">
        <v>210</v>
      </c>
      <c r="G3" s="14"/>
      <c r="H3" s="14"/>
      <c r="I3" s="14"/>
      <c r="J3" s="14"/>
      <c r="K3" s="14"/>
      <c r="L3" s="17" t="s">
        <v>135</v>
      </c>
      <c r="M3" s="17"/>
      <c r="N3" s="17"/>
      <c r="O3" s="17"/>
      <c r="P3" s="17"/>
      <c r="Q3" s="17"/>
      <c r="R3" s="17"/>
      <c r="S3" s="17"/>
      <c r="T3" s="17"/>
    </row>
    <row r="4" ht="15.75" customHeight="1" spans="1:22">
      <c r="A4" s="12" t="s">
        <v>211</v>
      </c>
      <c r="B4" s="12"/>
      <c r="C4" s="15">
        <v>52</v>
      </c>
      <c r="D4" s="15"/>
      <c r="E4" s="16"/>
      <c r="F4" s="14" t="s">
        <v>212</v>
      </c>
      <c r="G4" s="14"/>
      <c r="H4" s="14"/>
      <c r="I4" s="14"/>
      <c r="J4" s="14"/>
      <c r="K4" s="14"/>
      <c r="L4" s="88"/>
      <c r="M4" s="88"/>
      <c r="N4" s="88"/>
      <c r="O4" s="88"/>
      <c r="P4" s="88"/>
      <c r="Q4" s="88"/>
      <c r="R4" s="88"/>
      <c r="S4" s="88"/>
      <c r="T4" s="88"/>
      <c r="V4" s="98"/>
    </row>
    <row r="5" ht="15.75" customHeight="1" spans="1:20">
      <c r="A5" s="12" t="s">
        <v>213</v>
      </c>
      <c r="B5" s="12"/>
      <c r="C5" s="17" t="s">
        <v>387</v>
      </c>
      <c r="D5" s="17"/>
      <c r="E5" s="17"/>
      <c r="F5" s="17"/>
      <c r="G5" s="17"/>
      <c r="H5" s="17"/>
      <c r="I5" s="17"/>
      <c r="J5" s="17"/>
      <c r="K5" s="17"/>
      <c r="L5" s="17"/>
      <c r="M5" s="17"/>
      <c r="N5" s="17"/>
      <c r="O5" s="17"/>
      <c r="P5" s="17"/>
      <c r="Q5" s="17"/>
      <c r="R5" s="17"/>
      <c r="S5" s="17"/>
      <c r="T5" s="17"/>
    </row>
    <row r="6" ht="13.5" customHeight="1" spans="1:22">
      <c r="A6" s="18" t="s">
        <v>194</v>
      </c>
      <c r="B6" s="18"/>
      <c r="C6" s="19" t="s">
        <v>195</v>
      </c>
      <c r="D6" s="19"/>
      <c r="E6" s="19"/>
      <c r="F6" s="19" t="s">
        <v>196</v>
      </c>
      <c r="G6" s="19"/>
      <c r="H6" s="19"/>
      <c r="I6" s="19"/>
      <c r="J6" s="19"/>
      <c r="K6" s="19"/>
      <c r="L6" s="89" t="s">
        <v>215</v>
      </c>
      <c r="M6" s="89"/>
      <c r="N6" s="89"/>
      <c r="O6" s="90" t="s">
        <v>199</v>
      </c>
      <c r="P6" s="90"/>
      <c r="Q6" s="90"/>
      <c r="R6" s="90"/>
      <c r="S6" s="90"/>
      <c r="T6" s="90"/>
      <c r="V6" s="98"/>
    </row>
    <row r="7" ht="13.5" customHeight="1" spans="1:21">
      <c r="A7" s="20">
        <f>COUNTIF(F42:HQ42,"P")</f>
        <v>7</v>
      </c>
      <c r="B7" s="20"/>
      <c r="C7" s="21">
        <f>COUNTIF(F42:HQ42,"F")</f>
        <v>0</v>
      </c>
      <c r="D7" s="21"/>
      <c r="E7" s="21"/>
      <c r="F7" s="21">
        <f>SUM(O7,-A7,-C7)</f>
        <v>0</v>
      </c>
      <c r="G7" s="21"/>
      <c r="H7" s="21"/>
      <c r="I7" s="21"/>
      <c r="J7" s="21"/>
      <c r="K7" s="21"/>
      <c r="L7" s="91">
        <f>COUNTIF(E41:HQ41,"N")</f>
        <v>7</v>
      </c>
      <c r="M7" s="91">
        <f>COUNTIF(E41:HQ41,"A")</f>
        <v>0</v>
      </c>
      <c r="N7" s="91">
        <f>COUNTIF(E41:HQ41,"B")</f>
        <v>0</v>
      </c>
      <c r="O7" s="92">
        <f>COUNTA(E9:HT9)</f>
        <v>7</v>
      </c>
      <c r="P7" s="92"/>
      <c r="Q7" s="92"/>
      <c r="R7" s="92"/>
      <c r="S7" s="92"/>
      <c r="T7" s="92"/>
      <c r="U7" s="99"/>
    </row>
    <row r="8" ht="13.95"/>
    <row r="9" ht="46.5" customHeight="1" spans="1:23">
      <c r="A9" s="22"/>
      <c r="B9" s="23"/>
      <c r="C9" s="24"/>
      <c r="D9" s="25"/>
      <c r="E9" s="24"/>
      <c r="F9" s="26" t="s">
        <v>216</v>
      </c>
      <c r="G9" s="26" t="s">
        <v>217</v>
      </c>
      <c r="H9" s="26" t="s">
        <v>218</v>
      </c>
      <c r="I9" s="26" t="s">
        <v>219</v>
      </c>
      <c r="J9" s="26" t="s">
        <v>220</v>
      </c>
      <c r="K9" s="26" t="s">
        <v>221</v>
      </c>
      <c r="L9" s="26" t="s">
        <v>222</v>
      </c>
      <c r="M9" s="93"/>
      <c r="N9" s="93"/>
      <c r="O9" s="93"/>
      <c r="P9" s="93"/>
      <c r="Q9" s="93"/>
      <c r="R9" s="93"/>
      <c r="S9" s="93"/>
      <c r="T9" s="100"/>
      <c r="U9" s="101"/>
      <c r="V9" s="102"/>
      <c r="W9" s="103"/>
    </row>
    <row r="10" ht="13.5" customHeight="1" spans="1:20">
      <c r="A10" s="27" t="s">
        <v>225</v>
      </c>
      <c r="B10" s="28" t="s">
        <v>226</v>
      </c>
      <c r="C10" s="29"/>
      <c r="D10" s="30"/>
      <c r="E10" s="31"/>
      <c r="F10" s="32"/>
      <c r="G10" s="32"/>
      <c r="H10" s="32"/>
      <c r="I10" s="32"/>
      <c r="J10" s="32"/>
      <c r="K10" s="32"/>
      <c r="L10" s="32"/>
      <c r="M10" s="32"/>
      <c r="N10" s="32"/>
      <c r="O10" s="32"/>
      <c r="P10" s="32"/>
      <c r="Q10" s="32"/>
      <c r="R10" s="32"/>
      <c r="S10" s="32"/>
      <c r="T10" s="104"/>
    </row>
    <row r="11" ht="13.5" customHeight="1" spans="1:22">
      <c r="A11" s="33"/>
      <c r="B11" s="34"/>
      <c r="C11" s="35"/>
      <c r="D11" s="36" t="s">
        <v>289</v>
      </c>
      <c r="E11" s="31"/>
      <c r="F11" s="37"/>
      <c r="G11" s="37"/>
      <c r="H11" s="37"/>
      <c r="I11" s="37"/>
      <c r="J11" s="37"/>
      <c r="K11" s="37"/>
      <c r="L11" s="37"/>
      <c r="M11" s="37"/>
      <c r="N11" s="37"/>
      <c r="O11" s="37"/>
      <c r="P11" s="37"/>
      <c r="Q11" s="37"/>
      <c r="R11" s="37"/>
      <c r="S11" s="37"/>
      <c r="T11" s="105"/>
      <c r="V11" s="98"/>
    </row>
    <row r="12" ht="13.5" customHeight="1" spans="1:20">
      <c r="A12" s="33"/>
      <c r="B12" s="34" t="s">
        <v>228</v>
      </c>
      <c r="C12" s="35"/>
      <c r="D12" s="36"/>
      <c r="E12" s="31"/>
      <c r="F12" s="37"/>
      <c r="G12" s="37"/>
      <c r="H12" s="37"/>
      <c r="I12" s="37"/>
      <c r="J12" s="37"/>
      <c r="K12" s="37"/>
      <c r="L12" s="37"/>
      <c r="M12" s="37"/>
      <c r="N12" s="37"/>
      <c r="O12" s="37"/>
      <c r="P12" s="37"/>
      <c r="Q12" s="37"/>
      <c r="R12" s="37"/>
      <c r="S12" s="37"/>
      <c r="T12" s="105"/>
    </row>
    <row r="13" ht="13.5" customHeight="1" spans="1:20">
      <c r="A13" s="33"/>
      <c r="B13" s="34"/>
      <c r="C13" s="38" t="s">
        <v>388</v>
      </c>
      <c r="D13" s="36" t="s">
        <v>389</v>
      </c>
      <c r="E13" s="39"/>
      <c r="F13" s="37"/>
      <c r="G13" s="37"/>
      <c r="H13" s="37"/>
      <c r="I13" s="37"/>
      <c r="J13" s="37"/>
      <c r="K13" s="37"/>
      <c r="L13" s="37"/>
      <c r="M13" s="37"/>
      <c r="N13" s="37"/>
      <c r="O13" s="37"/>
      <c r="P13" s="37"/>
      <c r="Q13" s="37"/>
      <c r="R13" s="37"/>
      <c r="S13" s="37"/>
      <c r="T13" s="105"/>
    </row>
    <row r="14" ht="13.5" customHeight="1" spans="1:20">
      <c r="A14" s="33"/>
      <c r="B14" s="34"/>
      <c r="C14" s="35" t="s">
        <v>390</v>
      </c>
      <c r="D14" s="40"/>
      <c r="E14" s="41"/>
      <c r="F14" s="37"/>
      <c r="G14" s="37"/>
      <c r="H14" s="37"/>
      <c r="I14" s="37"/>
      <c r="J14" s="37"/>
      <c r="K14" s="37"/>
      <c r="L14" s="37"/>
      <c r="M14" s="37"/>
      <c r="N14" s="37"/>
      <c r="O14" s="37"/>
      <c r="P14" s="37"/>
      <c r="Q14" s="37"/>
      <c r="R14" s="37"/>
      <c r="S14" s="37"/>
      <c r="T14" s="105"/>
    </row>
    <row r="15" ht="13.5" customHeight="1" spans="1:20">
      <c r="A15" s="33"/>
      <c r="B15" s="34"/>
      <c r="C15" s="35"/>
      <c r="D15" s="42" t="s">
        <v>230</v>
      </c>
      <c r="E15" s="41"/>
      <c r="F15" s="37" t="s">
        <v>231</v>
      </c>
      <c r="G15" s="37"/>
      <c r="H15" s="37"/>
      <c r="I15" s="37"/>
      <c r="J15" s="37"/>
      <c r="K15" s="37"/>
      <c r="L15" s="37"/>
      <c r="M15" s="37"/>
      <c r="N15" s="37"/>
      <c r="O15" s="37"/>
      <c r="P15" s="37"/>
      <c r="Q15" s="37"/>
      <c r="R15" s="37"/>
      <c r="S15" s="37"/>
      <c r="T15" s="105"/>
    </row>
    <row r="16" ht="13.5" customHeight="1" spans="1:20">
      <c r="A16" s="33"/>
      <c r="B16" s="34"/>
      <c r="C16" s="35"/>
      <c r="D16" s="42" t="s">
        <v>391</v>
      </c>
      <c r="E16" s="41"/>
      <c r="F16" s="37"/>
      <c r="G16" s="37" t="s">
        <v>231</v>
      </c>
      <c r="H16" s="37"/>
      <c r="I16" s="37"/>
      <c r="J16" s="37"/>
      <c r="K16" s="37"/>
      <c r="L16" s="37"/>
      <c r="M16" s="37"/>
      <c r="N16" s="37"/>
      <c r="O16" s="37"/>
      <c r="P16" s="37"/>
      <c r="Q16" s="37"/>
      <c r="R16" s="37"/>
      <c r="S16" s="37"/>
      <c r="T16" s="105"/>
    </row>
    <row r="17" ht="13.5" customHeight="1" spans="1:20">
      <c r="A17" s="33"/>
      <c r="B17" s="34"/>
      <c r="C17" s="35"/>
      <c r="D17" s="43" t="s">
        <v>392</v>
      </c>
      <c r="E17" s="41"/>
      <c r="F17" s="37"/>
      <c r="G17" s="37"/>
      <c r="H17" s="37" t="s">
        <v>231</v>
      </c>
      <c r="I17" s="37"/>
      <c r="J17" s="37"/>
      <c r="K17" s="37"/>
      <c r="L17" s="37"/>
      <c r="M17" s="37"/>
      <c r="N17" s="37"/>
      <c r="O17" s="37"/>
      <c r="P17" s="37"/>
      <c r="Q17" s="37"/>
      <c r="R17" s="37"/>
      <c r="S17" s="37"/>
      <c r="T17" s="105"/>
    </row>
    <row r="18" ht="13.5" customHeight="1" spans="1:20">
      <c r="A18" s="33"/>
      <c r="B18" s="34"/>
      <c r="C18" s="35"/>
      <c r="D18" s="42" t="s">
        <v>393</v>
      </c>
      <c r="E18" s="41"/>
      <c r="F18" s="37"/>
      <c r="G18" s="37"/>
      <c r="H18" s="37"/>
      <c r="I18" s="37" t="s">
        <v>231</v>
      </c>
      <c r="J18" s="37"/>
      <c r="K18" s="37"/>
      <c r="L18" s="37"/>
      <c r="M18" s="37"/>
      <c r="N18" s="94"/>
      <c r="O18" s="37"/>
      <c r="P18" s="37"/>
      <c r="Q18" s="37"/>
      <c r="R18" s="37"/>
      <c r="S18" s="37"/>
      <c r="T18" s="105"/>
    </row>
    <row r="19" ht="13.5" customHeight="1" spans="1:20">
      <c r="A19" s="33"/>
      <c r="B19" s="34"/>
      <c r="C19" s="35"/>
      <c r="D19" s="43" t="s">
        <v>380</v>
      </c>
      <c r="E19" s="41"/>
      <c r="F19" s="37"/>
      <c r="G19" s="37"/>
      <c r="H19" s="37"/>
      <c r="I19" s="37"/>
      <c r="J19" s="37" t="s">
        <v>231</v>
      </c>
      <c r="K19" s="37"/>
      <c r="L19" s="37"/>
      <c r="M19" s="37"/>
      <c r="N19" s="37"/>
      <c r="O19" s="37"/>
      <c r="P19" s="37"/>
      <c r="Q19" s="37"/>
      <c r="R19" s="37"/>
      <c r="S19" s="37"/>
      <c r="T19" s="105"/>
    </row>
    <row r="20" ht="13.5" customHeight="1" spans="1:20">
      <c r="A20" s="33"/>
      <c r="B20" s="34"/>
      <c r="C20" s="35"/>
      <c r="D20" s="43">
        <v>123456</v>
      </c>
      <c r="E20" s="41"/>
      <c r="F20" s="37"/>
      <c r="G20" s="37"/>
      <c r="H20" s="37"/>
      <c r="I20" s="37"/>
      <c r="J20" s="37"/>
      <c r="K20" s="37" t="s">
        <v>231</v>
      </c>
      <c r="L20" s="37"/>
      <c r="M20" s="37"/>
      <c r="N20" s="37"/>
      <c r="O20" s="37"/>
      <c r="P20" s="37"/>
      <c r="Q20" s="37"/>
      <c r="R20" s="37"/>
      <c r="S20" s="37"/>
      <c r="T20" s="105"/>
    </row>
    <row r="21" ht="13.5" customHeight="1" spans="1:20">
      <c r="A21" s="33"/>
      <c r="B21" s="34"/>
      <c r="C21" s="35"/>
      <c r="D21" s="113">
        <v>123456</v>
      </c>
      <c r="E21" s="41"/>
      <c r="F21" s="37"/>
      <c r="G21" s="37"/>
      <c r="H21" s="37"/>
      <c r="I21" s="37"/>
      <c r="J21" s="37"/>
      <c r="K21" s="37"/>
      <c r="L21" s="37" t="s">
        <v>231</v>
      </c>
      <c r="M21" s="37"/>
      <c r="N21" s="37"/>
      <c r="O21" s="37"/>
      <c r="P21" s="37"/>
      <c r="Q21" s="37"/>
      <c r="R21" s="37"/>
      <c r="S21" s="37"/>
      <c r="T21" s="105"/>
    </row>
    <row r="22" ht="13.5" customHeight="1" spans="1:21">
      <c r="A22" s="33"/>
      <c r="B22" s="34"/>
      <c r="C22" s="35" t="s">
        <v>394</v>
      </c>
      <c r="D22" s="42"/>
      <c r="E22" s="41"/>
      <c r="F22" s="37"/>
      <c r="G22" s="37"/>
      <c r="H22" s="37"/>
      <c r="I22" s="37"/>
      <c r="J22" s="37"/>
      <c r="K22" s="37"/>
      <c r="L22" s="37"/>
      <c r="M22" s="37"/>
      <c r="N22" s="37"/>
      <c r="O22" s="37"/>
      <c r="P22" s="37"/>
      <c r="Q22" s="37"/>
      <c r="R22" s="37"/>
      <c r="S22" s="37"/>
      <c r="T22" s="105"/>
      <c r="U22" s="106"/>
    </row>
    <row r="23" ht="13.5" customHeight="1" spans="1:20">
      <c r="A23" s="33"/>
      <c r="B23" s="34"/>
      <c r="C23" s="38"/>
      <c r="D23" s="42" t="s">
        <v>230</v>
      </c>
      <c r="E23" s="41"/>
      <c r="F23" s="37"/>
      <c r="G23" s="37" t="s">
        <v>231</v>
      </c>
      <c r="H23" s="37"/>
      <c r="I23" s="37"/>
      <c r="J23" s="37"/>
      <c r="K23" s="37"/>
      <c r="L23" s="37"/>
      <c r="M23" s="37"/>
      <c r="N23" s="37"/>
      <c r="O23" s="37"/>
      <c r="P23" s="37"/>
      <c r="Q23" s="37"/>
      <c r="R23" s="37"/>
      <c r="S23" s="37"/>
      <c r="T23" s="105"/>
    </row>
    <row r="24" ht="13.5" customHeight="1" spans="1:20">
      <c r="A24" s="33"/>
      <c r="B24" s="34"/>
      <c r="C24" s="35"/>
      <c r="D24" s="42" t="s">
        <v>230</v>
      </c>
      <c r="E24" s="41"/>
      <c r="F24" s="37"/>
      <c r="G24" s="37"/>
      <c r="H24" s="37" t="s">
        <v>231</v>
      </c>
      <c r="I24" s="37"/>
      <c r="J24" s="37"/>
      <c r="K24" s="37"/>
      <c r="L24" s="37"/>
      <c r="M24" s="37"/>
      <c r="N24" s="37"/>
      <c r="O24" s="37"/>
      <c r="P24" s="37"/>
      <c r="Q24" s="37"/>
      <c r="R24" s="37"/>
      <c r="S24" s="37"/>
      <c r="T24" s="105"/>
    </row>
    <row r="25" ht="13.5" customHeight="1" spans="1:20">
      <c r="A25" s="33"/>
      <c r="B25" s="34"/>
      <c r="C25" s="35"/>
      <c r="D25" s="42" t="s">
        <v>380</v>
      </c>
      <c r="E25" s="41"/>
      <c r="F25" s="37"/>
      <c r="G25" s="37"/>
      <c r="H25" s="37"/>
      <c r="I25" s="37" t="s">
        <v>231</v>
      </c>
      <c r="J25" s="37"/>
      <c r="K25" s="37"/>
      <c r="L25" s="37"/>
      <c r="M25" s="37"/>
      <c r="N25" s="37"/>
      <c r="O25" s="37"/>
      <c r="P25" s="37"/>
      <c r="Q25" s="37"/>
      <c r="R25" s="37"/>
      <c r="S25" s="37"/>
      <c r="T25" s="105"/>
    </row>
    <row r="26" ht="13.5" customHeight="1" spans="1:20">
      <c r="A26" s="33"/>
      <c r="B26" s="34"/>
      <c r="C26" s="35"/>
      <c r="D26" s="42" t="s">
        <v>380</v>
      </c>
      <c r="E26" s="41"/>
      <c r="F26" s="37"/>
      <c r="G26" s="37"/>
      <c r="H26" s="37"/>
      <c r="I26" s="37"/>
      <c r="J26" s="37" t="s">
        <v>231</v>
      </c>
      <c r="K26" s="37"/>
      <c r="L26" s="37"/>
      <c r="M26" s="37"/>
      <c r="N26" s="37"/>
      <c r="O26" s="37"/>
      <c r="P26" s="37"/>
      <c r="Q26" s="37"/>
      <c r="R26" s="37"/>
      <c r="S26" s="37"/>
      <c r="T26" s="105"/>
    </row>
    <row r="27" ht="13.5" customHeight="1" spans="1:20">
      <c r="A27" s="33"/>
      <c r="B27" s="44"/>
      <c r="C27" s="45"/>
      <c r="D27" s="43" t="s">
        <v>380</v>
      </c>
      <c r="E27" s="41"/>
      <c r="F27" s="46"/>
      <c r="G27" s="46"/>
      <c r="H27" s="46"/>
      <c r="I27" s="46"/>
      <c r="J27" s="46"/>
      <c r="K27" s="46" t="s">
        <v>231</v>
      </c>
      <c r="L27" s="46"/>
      <c r="M27" s="46"/>
      <c r="N27" s="46"/>
      <c r="O27" s="46"/>
      <c r="P27" s="46"/>
      <c r="Q27" s="46"/>
      <c r="R27" s="46"/>
      <c r="S27" s="46"/>
      <c r="T27" s="107"/>
    </row>
    <row r="28" ht="13.5" customHeight="1" spans="1:20">
      <c r="A28" s="33"/>
      <c r="B28" s="44"/>
      <c r="C28" s="45"/>
      <c r="D28" s="47" t="s">
        <v>244</v>
      </c>
      <c r="E28" s="41"/>
      <c r="F28" s="46"/>
      <c r="G28" s="46"/>
      <c r="H28" s="46"/>
      <c r="I28" s="46"/>
      <c r="J28" s="46"/>
      <c r="K28" s="46"/>
      <c r="L28" s="46" t="s">
        <v>231</v>
      </c>
      <c r="M28" s="46"/>
      <c r="N28" s="46"/>
      <c r="O28" s="46"/>
      <c r="P28" s="46"/>
      <c r="Q28" s="46"/>
      <c r="R28" s="46"/>
      <c r="S28" s="46"/>
      <c r="T28" s="107"/>
    </row>
    <row r="29" ht="13.5" customHeight="1" spans="1:20">
      <c r="A29" s="33"/>
      <c r="B29" s="48"/>
      <c r="C29" s="49"/>
      <c r="D29" s="50"/>
      <c r="E29" s="51"/>
      <c r="F29" s="52"/>
      <c r="G29" s="52"/>
      <c r="H29" s="52"/>
      <c r="I29" s="52"/>
      <c r="J29" s="52"/>
      <c r="K29" s="52"/>
      <c r="L29" s="52"/>
      <c r="M29" s="52"/>
      <c r="N29" s="52"/>
      <c r="O29" s="52"/>
      <c r="P29" s="52"/>
      <c r="Q29" s="52"/>
      <c r="R29" s="52"/>
      <c r="S29" s="52"/>
      <c r="T29" s="108"/>
    </row>
    <row r="30" ht="13.5" customHeight="1" spans="1:20">
      <c r="A30" s="53" t="s">
        <v>245</v>
      </c>
      <c r="B30" s="54" t="s">
        <v>246</v>
      </c>
      <c r="C30" s="55"/>
      <c r="D30" s="56"/>
      <c r="E30" s="57"/>
      <c r="F30" s="32"/>
      <c r="G30" s="32"/>
      <c r="H30" s="32"/>
      <c r="I30" s="32"/>
      <c r="J30" s="32"/>
      <c r="K30" s="32"/>
      <c r="L30" s="32"/>
      <c r="M30" s="32"/>
      <c r="N30" s="32"/>
      <c r="O30" s="32"/>
      <c r="P30" s="32"/>
      <c r="Q30" s="32"/>
      <c r="R30" s="32"/>
      <c r="S30" s="32"/>
      <c r="T30" s="104"/>
    </row>
    <row r="31" ht="13.5" customHeight="1" spans="1:20">
      <c r="A31" s="58"/>
      <c r="B31" s="59"/>
      <c r="C31" s="60"/>
      <c r="D31" s="61" t="s">
        <v>247</v>
      </c>
      <c r="E31" s="62"/>
      <c r="F31" s="37"/>
      <c r="G31" s="37"/>
      <c r="H31" s="37"/>
      <c r="I31" s="37"/>
      <c r="J31" s="37"/>
      <c r="K31" s="37" t="s">
        <v>231</v>
      </c>
      <c r="L31" s="37"/>
      <c r="M31" s="37"/>
      <c r="N31" s="37"/>
      <c r="O31" s="37"/>
      <c r="P31" s="37"/>
      <c r="Q31" s="37"/>
      <c r="R31" s="37"/>
      <c r="S31" s="37"/>
      <c r="T31" s="105"/>
    </row>
    <row r="32" ht="13.5" customHeight="1" spans="1:20">
      <c r="A32" s="58"/>
      <c r="B32" s="59"/>
      <c r="C32" s="60"/>
      <c r="D32" s="61" t="s">
        <v>248</v>
      </c>
      <c r="E32" s="63"/>
      <c r="F32" s="37" t="s">
        <v>231</v>
      </c>
      <c r="G32" s="37" t="s">
        <v>231</v>
      </c>
      <c r="H32" s="37" t="s">
        <v>231</v>
      </c>
      <c r="I32" s="37" t="s">
        <v>231</v>
      </c>
      <c r="J32" s="37" t="s">
        <v>231</v>
      </c>
      <c r="K32" s="37"/>
      <c r="L32" s="37" t="s">
        <v>231</v>
      </c>
      <c r="M32" s="37"/>
      <c r="N32" s="37"/>
      <c r="O32" s="37"/>
      <c r="P32" s="37"/>
      <c r="Q32" s="37"/>
      <c r="R32" s="37"/>
      <c r="S32" s="37"/>
      <c r="T32" s="105"/>
    </row>
    <row r="33" ht="13.5" customHeight="1" spans="1:20">
      <c r="A33" s="58"/>
      <c r="B33" s="59" t="s">
        <v>249</v>
      </c>
      <c r="C33" s="60"/>
      <c r="D33" s="61"/>
      <c r="E33" s="63"/>
      <c r="F33" s="37"/>
      <c r="G33" s="37"/>
      <c r="H33" s="37"/>
      <c r="I33" s="37"/>
      <c r="J33" s="37"/>
      <c r="K33" s="37"/>
      <c r="L33" s="37"/>
      <c r="M33" s="37"/>
      <c r="N33" s="37"/>
      <c r="O33" s="37"/>
      <c r="P33" s="37"/>
      <c r="Q33" s="37"/>
      <c r="R33" s="37"/>
      <c r="S33" s="37"/>
      <c r="T33" s="105"/>
    </row>
    <row r="34" ht="13.5" customHeight="1" spans="1:20">
      <c r="A34" s="58"/>
      <c r="B34" s="59"/>
      <c r="C34" s="60"/>
      <c r="D34" s="61"/>
      <c r="E34" s="63"/>
      <c r="F34" s="37"/>
      <c r="G34" s="37"/>
      <c r="H34" s="37"/>
      <c r="I34" s="37"/>
      <c r="J34" s="37"/>
      <c r="K34" s="37"/>
      <c r="L34" s="37"/>
      <c r="M34" s="37"/>
      <c r="N34" s="37"/>
      <c r="O34" s="37"/>
      <c r="P34" s="37"/>
      <c r="Q34" s="37"/>
      <c r="R34" s="37"/>
      <c r="S34" s="37"/>
      <c r="T34" s="105"/>
    </row>
    <row r="35" ht="13.5" customHeight="1" spans="1:20">
      <c r="A35" s="58"/>
      <c r="B35" s="59" t="s">
        <v>250</v>
      </c>
      <c r="C35" s="60"/>
      <c r="D35" s="61"/>
      <c r="E35" s="63"/>
      <c r="F35" s="37"/>
      <c r="G35" s="37"/>
      <c r="H35" s="37"/>
      <c r="I35" s="37"/>
      <c r="J35" s="37"/>
      <c r="K35" s="37"/>
      <c r="L35" s="37"/>
      <c r="M35" s="37"/>
      <c r="N35" s="37"/>
      <c r="O35" s="37"/>
      <c r="P35" s="37"/>
      <c r="Q35" s="37"/>
      <c r="R35" s="37"/>
      <c r="S35" s="37"/>
      <c r="T35" s="105"/>
    </row>
    <row r="36" ht="13.5" customHeight="1" spans="1:20">
      <c r="A36" s="58"/>
      <c r="B36" s="64"/>
      <c r="C36" s="65"/>
      <c r="D36" s="66" t="s">
        <v>395</v>
      </c>
      <c r="E36" s="63"/>
      <c r="F36" s="37"/>
      <c r="G36" s="37"/>
      <c r="H36" s="37"/>
      <c r="I36" s="37"/>
      <c r="J36" s="37"/>
      <c r="K36" s="37" t="s">
        <v>231</v>
      </c>
      <c r="L36" s="37"/>
      <c r="M36" s="37"/>
      <c r="N36" s="37"/>
      <c r="O36" s="37"/>
      <c r="P36" s="37"/>
      <c r="Q36" s="37"/>
      <c r="R36" s="37"/>
      <c r="S36" s="37"/>
      <c r="T36" s="105"/>
    </row>
    <row r="37" ht="13.5" customHeight="1" spans="1:20">
      <c r="A37" s="58"/>
      <c r="B37" s="67"/>
      <c r="C37" s="68"/>
      <c r="D37" s="69" t="s">
        <v>396</v>
      </c>
      <c r="E37" s="70"/>
      <c r="F37" s="46" t="s">
        <v>231</v>
      </c>
      <c r="G37" s="46"/>
      <c r="H37" s="46"/>
      <c r="I37" s="46"/>
      <c r="J37" s="46"/>
      <c r="K37" s="46"/>
      <c r="L37" s="46"/>
      <c r="M37" s="46"/>
      <c r="N37" s="46"/>
      <c r="O37" s="46"/>
      <c r="P37" s="46"/>
      <c r="Q37" s="46"/>
      <c r="R37" s="46"/>
      <c r="S37" s="46"/>
      <c r="T37" s="107"/>
    </row>
    <row r="38" ht="13.5" customHeight="1" spans="1:20">
      <c r="A38" s="58"/>
      <c r="B38" s="67"/>
      <c r="C38" s="68"/>
      <c r="D38" s="69" t="s">
        <v>397</v>
      </c>
      <c r="E38" s="70"/>
      <c r="F38" s="46"/>
      <c r="G38" s="46" t="s">
        <v>231</v>
      </c>
      <c r="H38" s="46"/>
      <c r="I38" s="46"/>
      <c r="J38" s="46"/>
      <c r="K38" s="46"/>
      <c r="L38" s="46"/>
      <c r="M38" s="46"/>
      <c r="N38" s="46"/>
      <c r="O38" s="46"/>
      <c r="P38" s="46"/>
      <c r="Q38" s="46"/>
      <c r="R38" s="46"/>
      <c r="S38" s="46"/>
      <c r="T38" s="107"/>
    </row>
    <row r="39" ht="13.5" customHeight="1" spans="1:20">
      <c r="A39" s="58"/>
      <c r="B39" s="67"/>
      <c r="C39" s="68"/>
      <c r="D39" s="69" t="s">
        <v>398</v>
      </c>
      <c r="E39" s="70"/>
      <c r="F39" s="46"/>
      <c r="G39" s="46"/>
      <c r="H39" s="46" t="s">
        <v>231</v>
      </c>
      <c r="I39" s="46" t="s">
        <v>231</v>
      </c>
      <c r="J39" s="46" t="s">
        <v>231</v>
      </c>
      <c r="K39" s="46"/>
      <c r="L39" s="46" t="s">
        <v>231</v>
      </c>
      <c r="M39" s="46"/>
      <c r="N39" s="46"/>
      <c r="O39" s="46"/>
      <c r="P39" s="46"/>
      <c r="Q39" s="46"/>
      <c r="R39" s="46"/>
      <c r="S39" s="46"/>
      <c r="T39" s="107"/>
    </row>
    <row r="40" ht="13.5" customHeight="1" spans="1:20">
      <c r="A40" s="58"/>
      <c r="B40" s="67"/>
      <c r="C40" s="71"/>
      <c r="D40" s="69"/>
      <c r="E40" s="72"/>
      <c r="F40" s="46"/>
      <c r="G40" s="46"/>
      <c r="H40" s="46"/>
      <c r="I40" s="46"/>
      <c r="J40" s="46"/>
      <c r="K40" s="46"/>
      <c r="L40" s="46"/>
      <c r="M40" s="46"/>
      <c r="N40" s="46"/>
      <c r="O40" s="46"/>
      <c r="P40" s="46"/>
      <c r="Q40" s="46"/>
      <c r="R40" s="46"/>
      <c r="S40" s="46"/>
      <c r="T40" s="107"/>
    </row>
    <row r="41" ht="13.5" customHeight="1" spans="1:20">
      <c r="A41" s="53" t="s">
        <v>255</v>
      </c>
      <c r="B41" s="73" t="s">
        <v>256</v>
      </c>
      <c r="C41" s="73"/>
      <c r="D41" s="73"/>
      <c r="E41" s="74"/>
      <c r="F41" s="75" t="s">
        <v>197</v>
      </c>
      <c r="G41" s="75" t="s">
        <v>197</v>
      </c>
      <c r="H41" s="75" t="s">
        <v>197</v>
      </c>
      <c r="I41" s="75" t="s">
        <v>197</v>
      </c>
      <c r="J41" s="75" t="s">
        <v>197</v>
      </c>
      <c r="K41" s="75" t="s">
        <v>197</v>
      </c>
      <c r="L41" s="75" t="s">
        <v>197</v>
      </c>
      <c r="M41" s="95"/>
      <c r="N41" s="95"/>
      <c r="O41" s="95"/>
      <c r="P41" s="95"/>
      <c r="Q41" s="95"/>
      <c r="R41" s="95"/>
      <c r="S41" s="95"/>
      <c r="T41" s="109"/>
    </row>
    <row r="42" ht="13.5" customHeight="1" spans="1:20">
      <c r="A42" s="58"/>
      <c r="B42" s="76" t="s">
        <v>257</v>
      </c>
      <c r="C42" s="76"/>
      <c r="D42" s="76"/>
      <c r="E42" s="77"/>
      <c r="F42" s="78" t="s">
        <v>258</v>
      </c>
      <c r="G42" s="78" t="s">
        <v>258</v>
      </c>
      <c r="H42" s="78" t="s">
        <v>258</v>
      </c>
      <c r="I42" s="78" t="s">
        <v>258</v>
      </c>
      <c r="J42" s="78" t="s">
        <v>258</v>
      </c>
      <c r="K42" s="78" t="s">
        <v>258</v>
      </c>
      <c r="L42" s="78" t="s">
        <v>258</v>
      </c>
      <c r="M42" s="96"/>
      <c r="N42" s="96"/>
      <c r="O42" s="96"/>
      <c r="P42" s="96"/>
      <c r="Q42" s="96"/>
      <c r="R42" s="96"/>
      <c r="S42" s="96"/>
      <c r="T42" s="110"/>
    </row>
    <row r="43" ht="13.5" customHeight="1" spans="1:20">
      <c r="A43" s="58"/>
      <c r="B43" s="79" t="s">
        <v>259</v>
      </c>
      <c r="C43" s="79"/>
      <c r="D43" s="79"/>
      <c r="E43" s="80"/>
      <c r="F43" s="81">
        <v>44165</v>
      </c>
      <c r="G43" s="81">
        <v>44165</v>
      </c>
      <c r="H43" s="81">
        <v>44165</v>
      </c>
      <c r="I43" s="81">
        <v>44165</v>
      </c>
      <c r="J43" s="81">
        <v>44165</v>
      </c>
      <c r="K43" s="81">
        <v>44165</v>
      </c>
      <c r="L43" s="81">
        <v>44165</v>
      </c>
      <c r="M43" s="97"/>
      <c r="N43" s="97"/>
      <c r="O43" s="97"/>
      <c r="P43" s="97"/>
      <c r="Q43" s="97"/>
      <c r="R43" s="97"/>
      <c r="S43" s="97"/>
      <c r="T43" s="111"/>
    </row>
    <row r="44" ht="13.95" spans="1:20">
      <c r="A44" s="82"/>
      <c r="B44" s="83" t="s">
        <v>260</v>
      </c>
      <c r="C44" s="83"/>
      <c r="D44" s="83"/>
      <c r="E44" s="84"/>
      <c r="F44" s="85"/>
      <c r="G44" s="85"/>
      <c r="H44" s="85"/>
      <c r="I44" s="85"/>
      <c r="J44" s="85"/>
      <c r="K44" s="85"/>
      <c r="L44" s="85"/>
      <c r="M44" s="85"/>
      <c r="N44" s="85"/>
      <c r="O44" s="85"/>
      <c r="P44" s="85"/>
      <c r="Q44" s="85"/>
      <c r="R44" s="85"/>
      <c r="S44" s="85"/>
      <c r="T44" s="112"/>
    </row>
    <row r="45" ht="13.95" spans="1:1">
      <c r="A45" s="86"/>
    </row>
  </sheetData>
  <mergeCells count="27">
    <mergeCell ref="A2:B2"/>
    <mergeCell ref="C2:E2"/>
    <mergeCell ref="F2:K2"/>
    <mergeCell ref="L2:T2"/>
    <mergeCell ref="A3:B3"/>
    <mergeCell ref="C3:E3"/>
    <mergeCell ref="F3:K3"/>
    <mergeCell ref="L3:T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41:D41"/>
    <mergeCell ref="B42:D42"/>
    <mergeCell ref="B43:D43"/>
    <mergeCell ref="B44:D44"/>
  </mergeCells>
  <dataValidations count="3">
    <dataValidation type="list" allowBlank="1" showErrorMessage="1" sqref="F41:T41">
      <formula1>"N,A,B,"</formula1>
    </dataValidation>
    <dataValidation type="list" allowBlank="1" showErrorMessage="1" sqref="F42:T42">
      <formula1>"P,F,"</formula1>
    </dataValidation>
    <dataValidation type="list" allowBlank="1" showErrorMessage="1" sqref="F10:T40">
      <formula1>"O,"</formula1>
    </dataValidation>
  </dataValidations>
  <pageMargins left="0.7" right="0.7" top="0.75" bottom="0.75" header="0.3" footer="0.3"/>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3"/>
  <sheetViews>
    <sheetView workbookViewId="0">
      <selection activeCell="A1" sqref="A1"/>
    </sheetView>
  </sheetViews>
  <sheetFormatPr defaultColWidth="8.99074074074074" defaultRowHeight="13.2"/>
  <cols>
    <col min="1" max="1" width="8.10185185185185" style="4" customWidth="1"/>
    <col min="2" max="2" width="13.3333333333333" style="5" customWidth="1"/>
    <col min="3" max="3" width="10.6574074074074" style="4" customWidth="1"/>
    <col min="4" max="4" width="38.1018518518519" style="6" customWidth="1"/>
    <col min="5" max="5" width="1.10185185185185" style="4" hidden="1" customWidth="1"/>
    <col min="6" max="21" width="2.76851851851852" style="4" customWidth="1"/>
    <col min="22" max="257" width="8.99074074074074" style="4"/>
  </cols>
  <sheetData>
    <row r="1" ht="13.5" customHeight="1" spans="1:2">
      <c r="A1" s="7"/>
      <c r="B1" s="8"/>
    </row>
    <row r="2" ht="13.5" customHeight="1" spans="1:22">
      <c r="A2" s="9" t="s">
        <v>207</v>
      </c>
      <c r="B2" s="9"/>
      <c r="C2" s="10" t="s">
        <v>399</v>
      </c>
      <c r="D2" s="10"/>
      <c r="E2" s="10"/>
      <c r="F2" s="11" t="s">
        <v>119</v>
      </c>
      <c r="G2" s="11"/>
      <c r="H2" s="11"/>
      <c r="I2" s="11"/>
      <c r="J2" s="11"/>
      <c r="K2" s="11"/>
      <c r="L2" s="87" t="s">
        <v>181</v>
      </c>
      <c r="M2" s="87"/>
      <c r="N2" s="87"/>
      <c r="O2" s="87"/>
      <c r="P2" s="87"/>
      <c r="Q2" s="87"/>
      <c r="R2" s="87"/>
      <c r="S2" s="87"/>
      <c r="T2" s="87"/>
      <c r="V2" s="98"/>
    </row>
    <row r="3" ht="13.5" customHeight="1" spans="1:20">
      <c r="A3" s="12" t="s">
        <v>208</v>
      </c>
      <c r="B3" s="12"/>
      <c r="C3" s="13" t="s">
        <v>209</v>
      </c>
      <c r="D3" s="13"/>
      <c r="E3" s="13"/>
      <c r="F3" s="14" t="s">
        <v>210</v>
      </c>
      <c r="G3" s="14"/>
      <c r="H3" s="14"/>
      <c r="I3" s="14"/>
      <c r="J3" s="14"/>
      <c r="K3" s="14"/>
      <c r="L3" s="17" t="s">
        <v>135</v>
      </c>
      <c r="M3" s="17"/>
      <c r="N3" s="17"/>
      <c r="O3" s="17"/>
      <c r="P3" s="17"/>
      <c r="Q3" s="17"/>
      <c r="R3" s="17"/>
      <c r="S3" s="17"/>
      <c r="T3" s="17"/>
    </row>
    <row r="4" ht="15.75" customHeight="1" spans="1:22">
      <c r="A4" s="12" t="s">
        <v>211</v>
      </c>
      <c r="B4" s="12"/>
      <c r="C4" s="15">
        <v>30</v>
      </c>
      <c r="D4" s="15"/>
      <c r="E4" s="16"/>
      <c r="F4" s="14" t="s">
        <v>212</v>
      </c>
      <c r="G4" s="14"/>
      <c r="H4" s="14"/>
      <c r="I4" s="14"/>
      <c r="J4" s="14"/>
      <c r="K4" s="14"/>
      <c r="L4" s="88"/>
      <c r="M4" s="88"/>
      <c r="N4" s="88"/>
      <c r="O4" s="88"/>
      <c r="P4" s="88"/>
      <c r="Q4" s="88"/>
      <c r="R4" s="88"/>
      <c r="S4" s="88"/>
      <c r="T4" s="88"/>
      <c r="V4" s="98"/>
    </row>
    <row r="5" ht="15.75" customHeight="1" spans="1:20">
      <c r="A5" s="12" t="s">
        <v>213</v>
      </c>
      <c r="B5" s="12"/>
      <c r="C5" s="17" t="s">
        <v>400</v>
      </c>
      <c r="D5" s="17"/>
      <c r="E5" s="17"/>
      <c r="F5" s="17"/>
      <c r="G5" s="17"/>
      <c r="H5" s="17"/>
      <c r="I5" s="17"/>
      <c r="J5" s="17"/>
      <c r="K5" s="17"/>
      <c r="L5" s="17"/>
      <c r="M5" s="17"/>
      <c r="N5" s="17"/>
      <c r="O5" s="17"/>
      <c r="P5" s="17"/>
      <c r="Q5" s="17"/>
      <c r="R5" s="17"/>
      <c r="S5" s="17"/>
      <c r="T5" s="17"/>
    </row>
    <row r="6" ht="13.5" customHeight="1" spans="1:22">
      <c r="A6" s="18" t="s">
        <v>194</v>
      </c>
      <c r="B6" s="18"/>
      <c r="C6" s="19" t="s">
        <v>195</v>
      </c>
      <c r="D6" s="19"/>
      <c r="E6" s="19"/>
      <c r="F6" s="19" t="s">
        <v>196</v>
      </c>
      <c r="G6" s="19"/>
      <c r="H6" s="19"/>
      <c r="I6" s="19"/>
      <c r="J6" s="19"/>
      <c r="K6" s="19"/>
      <c r="L6" s="89" t="s">
        <v>215</v>
      </c>
      <c r="M6" s="89"/>
      <c r="N6" s="89"/>
      <c r="O6" s="90" t="s">
        <v>199</v>
      </c>
      <c r="P6" s="90"/>
      <c r="Q6" s="90"/>
      <c r="R6" s="90"/>
      <c r="S6" s="90"/>
      <c r="T6" s="90"/>
      <c r="V6" s="98"/>
    </row>
    <row r="7" ht="13.5" customHeight="1" spans="1:21">
      <c r="A7" s="20">
        <f>COUNTIF(F30:HQ30,"P")</f>
        <v>1</v>
      </c>
      <c r="B7" s="20"/>
      <c r="C7" s="21">
        <f>COUNTIF(F30:HQ30,"F")</f>
        <v>2</v>
      </c>
      <c r="D7" s="21"/>
      <c r="E7" s="21"/>
      <c r="F7" s="21">
        <f>SUM(O7,-A7,-C7)</f>
        <v>0</v>
      </c>
      <c r="G7" s="21"/>
      <c r="H7" s="21"/>
      <c r="I7" s="21"/>
      <c r="J7" s="21"/>
      <c r="K7" s="21"/>
      <c r="L7" s="91">
        <f>COUNTIF(E29:HQ29,"N")</f>
        <v>3</v>
      </c>
      <c r="M7" s="91">
        <f>COUNTIF(E29:HQ29,"A")</f>
        <v>0</v>
      </c>
      <c r="N7" s="91">
        <f>COUNTIF(E29:HQ29,"B")</f>
        <v>0</v>
      </c>
      <c r="O7" s="92">
        <f>COUNTA(E9:HT9)</f>
        <v>3</v>
      </c>
      <c r="P7" s="92"/>
      <c r="Q7" s="92"/>
      <c r="R7" s="92"/>
      <c r="S7" s="92"/>
      <c r="T7" s="92"/>
      <c r="U7" s="99"/>
    </row>
    <row r="8" ht="13.95"/>
    <row r="9" ht="46.5" customHeight="1" spans="1:23">
      <c r="A9" s="22"/>
      <c r="B9" s="23"/>
      <c r="C9" s="24"/>
      <c r="D9" s="25"/>
      <c r="E9" s="24"/>
      <c r="F9" s="26" t="s">
        <v>216</v>
      </c>
      <c r="G9" s="26" t="s">
        <v>217</v>
      </c>
      <c r="H9" s="26" t="s">
        <v>218</v>
      </c>
      <c r="I9" s="26"/>
      <c r="J9" s="26"/>
      <c r="K9" s="26"/>
      <c r="L9" s="26"/>
      <c r="M9" s="93"/>
      <c r="N9" s="93"/>
      <c r="O9" s="93"/>
      <c r="P9" s="93"/>
      <c r="Q9" s="93"/>
      <c r="R9" s="93"/>
      <c r="S9" s="93"/>
      <c r="T9" s="100"/>
      <c r="U9" s="101"/>
      <c r="V9" s="102"/>
      <c r="W9" s="103"/>
    </row>
    <row r="10" ht="13.5" customHeight="1" spans="1:20">
      <c r="A10" s="27" t="s">
        <v>225</v>
      </c>
      <c r="B10" s="28" t="s">
        <v>226</v>
      </c>
      <c r="C10" s="29"/>
      <c r="D10" s="30"/>
      <c r="E10" s="31"/>
      <c r="F10" s="32"/>
      <c r="G10" s="32"/>
      <c r="H10" s="32"/>
      <c r="I10" s="32"/>
      <c r="J10" s="32"/>
      <c r="K10" s="32"/>
      <c r="L10" s="32"/>
      <c r="M10" s="32"/>
      <c r="N10" s="32"/>
      <c r="O10" s="32"/>
      <c r="P10" s="32"/>
      <c r="Q10" s="32"/>
      <c r="R10" s="32"/>
      <c r="S10" s="32"/>
      <c r="T10" s="104"/>
    </row>
    <row r="11" ht="13.5" customHeight="1" spans="1:22">
      <c r="A11" s="33"/>
      <c r="B11" s="34"/>
      <c r="C11" s="35"/>
      <c r="D11" s="36" t="s">
        <v>289</v>
      </c>
      <c r="E11" s="31"/>
      <c r="F11" s="37"/>
      <c r="G11" s="37"/>
      <c r="H11" s="37"/>
      <c r="I11" s="37"/>
      <c r="J11" s="37"/>
      <c r="K11" s="37"/>
      <c r="L11" s="37"/>
      <c r="M11" s="37"/>
      <c r="N11" s="37"/>
      <c r="O11" s="37"/>
      <c r="P11" s="37"/>
      <c r="Q11" s="37"/>
      <c r="R11" s="37"/>
      <c r="S11" s="37"/>
      <c r="T11" s="105"/>
      <c r="V11" s="98"/>
    </row>
    <row r="12" ht="13.5" customHeight="1" spans="1:20">
      <c r="A12" s="33"/>
      <c r="B12" s="34" t="s">
        <v>228</v>
      </c>
      <c r="C12" s="35"/>
      <c r="D12" s="36"/>
      <c r="E12" s="31"/>
      <c r="F12" s="37"/>
      <c r="G12" s="37"/>
      <c r="H12" s="37"/>
      <c r="I12" s="37"/>
      <c r="J12" s="37"/>
      <c r="K12" s="37"/>
      <c r="L12" s="37"/>
      <c r="M12" s="37"/>
      <c r="N12" s="37"/>
      <c r="O12" s="37"/>
      <c r="P12" s="37"/>
      <c r="Q12" s="37"/>
      <c r="R12" s="37"/>
      <c r="S12" s="37"/>
      <c r="T12" s="105"/>
    </row>
    <row r="13" ht="13.5" customHeight="1" spans="1:20">
      <c r="A13" s="33"/>
      <c r="B13" s="34"/>
      <c r="C13" s="38" t="s">
        <v>388</v>
      </c>
      <c r="D13" s="36" t="s">
        <v>389</v>
      </c>
      <c r="E13" s="39"/>
      <c r="F13" s="37" t="s">
        <v>231</v>
      </c>
      <c r="G13" s="37"/>
      <c r="H13" s="37"/>
      <c r="I13" s="37"/>
      <c r="J13" s="37"/>
      <c r="K13" s="37"/>
      <c r="L13" s="37"/>
      <c r="M13" s="37"/>
      <c r="N13" s="37"/>
      <c r="O13" s="37"/>
      <c r="P13" s="37"/>
      <c r="Q13" s="37"/>
      <c r="R13" s="37"/>
      <c r="S13" s="37"/>
      <c r="T13" s="105"/>
    </row>
    <row r="14" ht="13.5" customHeight="1" spans="1:20">
      <c r="A14" s="33"/>
      <c r="B14" s="34"/>
      <c r="C14" s="35"/>
      <c r="D14" s="36" t="s">
        <v>401</v>
      </c>
      <c r="E14" s="41"/>
      <c r="F14" s="37"/>
      <c r="G14" s="37" t="s">
        <v>231</v>
      </c>
      <c r="H14" s="37" t="s">
        <v>231</v>
      </c>
      <c r="I14" s="37"/>
      <c r="J14" s="37"/>
      <c r="K14" s="37"/>
      <c r="L14" s="37"/>
      <c r="M14" s="37"/>
      <c r="N14" s="37"/>
      <c r="O14" s="37"/>
      <c r="P14" s="37"/>
      <c r="Q14" s="37"/>
      <c r="R14" s="37"/>
      <c r="S14" s="37"/>
      <c r="T14" s="105"/>
    </row>
    <row r="15" ht="13.5" customHeight="1" spans="1:20">
      <c r="A15" s="33"/>
      <c r="B15" s="34"/>
      <c r="C15" s="35"/>
      <c r="D15" s="42"/>
      <c r="E15" s="41"/>
      <c r="F15" s="37"/>
      <c r="G15" s="37"/>
      <c r="H15" s="37"/>
      <c r="I15" s="37"/>
      <c r="J15" s="37"/>
      <c r="K15" s="37"/>
      <c r="L15" s="37"/>
      <c r="M15" s="37"/>
      <c r="N15" s="37"/>
      <c r="O15" s="37"/>
      <c r="P15" s="37"/>
      <c r="Q15" s="37"/>
      <c r="R15" s="37"/>
      <c r="S15" s="37"/>
      <c r="T15" s="105"/>
    </row>
    <row r="16" ht="13.5" customHeight="1" spans="1:20">
      <c r="A16" s="33"/>
      <c r="B16" s="34" t="s">
        <v>402</v>
      </c>
      <c r="C16" s="35"/>
      <c r="D16" s="42"/>
      <c r="E16" s="41"/>
      <c r="F16" s="37"/>
      <c r="G16" s="37"/>
      <c r="H16" s="37"/>
      <c r="I16" s="37"/>
      <c r="J16" s="37"/>
      <c r="K16" s="37"/>
      <c r="L16" s="37"/>
      <c r="M16" s="37"/>
      <c r="N16" s="37"/>
      <c r="O16" s="37"/>
      <c r="P16" s="37"/>
      <c r="Q16" s="37"/>
      <c r="R16" s="37"/>
      <c r="S16" s="37"/>
      <c r="T16" s="105"/>
    </row>
    <row r="17" ht="13.5" customHeight="1" spans="1:20">
      <c r="A17" s="33"/>
      <c r="B17" s="34"/>
      <c r="C17" s="35"/>
      <c r="D17" s="43" t="s">
        <v>403</v>
      </c>
      <c r="E17" s="41"/>
      <c r="F17" s="37" t="s">
        <v>231</v>
      </c>
      <c r="G17" s="37"/>
      <c r="H17" s="37" t="s">
        <v>231</v>
      </c>
      <c r="I17" s="37"/>
      <c r="J17" s="37"/>
      <c r="K17" s="37"/>
      <c r="L17" s="37"/>
      <c r="M17" s="37"/>
      <c r="N17" s="37"/>
      <c r="O17" s="37"/>
      <c r="P17" s="37"/>
      <c r="Q17" s="37"/>
      <c r="R17" s="37"/>
      <c r="S17" s="37"/>
      <c r="T17" s="105"/>
    </row>
    <row r="18" ht="13.5" customHeight="1" spans="1:20">
      <c r="A18" s="33"/>
      <c r="B18" s="34"/>
      <c r="C18" s="35"/>
      <c r="D18" s="42" t="s">
        <v>404</v>
      </c>
      <c r="E18" s="41"/>
      <c r="F18" s="37"/>
      <c r="G18" s="37" t="s">
        <v>231</v>
      </c>
      <c r="H18" s="37" t="s">
        <v>231</v>
      </c>
      <c r="I18" s="37"/>
      <c r="J18" s="37"/>
      <c r="K18" s="37"/>
      <c r="L18" s="37"/>
      <c r="M18" s="37"/>
      <c r="N18" s="94"/>
      <c r="O18" s="37"/>
      <c r="P18" s="37"/>
      <c r="Q18" s="37"/>
      <c r="R18" s="37"/>
      <c r="S18" s="37"/>
      <c r="T18" s="105"/>
    </row>
    <row r="19" ht="13.5" customHeight="1" spans="1:20">
      <c r="A19" s="33"/>
      <c r="B19" s="48"/>
      <c r="C19" s="49"/>
      <c r="D19" s="50"/>
      <c r="E19" s="51"/>
      <c r="F19" s="52"/>
      <c r="G19" s="52"/>
      <c r="H19" s="52"/>
      <c r="I19" s="52"/>
      <c r="J19" s="52"/>
      <c r="K19" s="52"/>
      <c r="L19" s="52"/>
      <c r="M19" s="52"/>
      <c r="N19" s="52"/>
      <c r="O19" s="52"/>
      <c r="P19" s="52"/>
      <c r="Q19" s="52"/>
      <c r="R19" s="52"/>
      <c r="S19" s="52"/>
      <c r="T19" s="108"/>
    </row>
    <row r="20" ht="13.5" customHeight="1" spans="1:20">
      <c r="A20" s="53" t="s">
        <v>245</v>
      </c>
      <c r="B20" s="54" t="s">
        <v>246</v>
      </c>
      <c r="C20" s="55"/>
      <c r="D20" s="56"/>
      <c r="E20" s="57"/>
      <c r="F20" s="32"/>
      <c r="G20" s="32"/>
      <c r="H20" s="32"/>
      <c r="I20" s="32"/>
      <c r="J20" s="32"/>
      <c r="K20" s="32"/>
      <c r="L20" s="32"/>
      <c r="M20" s="32"/>
      <c r="N20" s="32"/>
      <c r="O20" s="32"/>
      <c r="P20" s="32"/>
      <c r="Q20" s="32"/>
      <c r="R20" s="32"/>
      <c r="S20" s="32"/>
      <c r="T20" s="104"/>
    </row>
    <row r="21" ht="13.5" customHeight="1" spans="1:20">
      <c r="A21" s="58"/>
      <c r="B21" s="59"/>
      <c r="C21" s="60"/>
      <c r="D21" s="61" t="s">
        <v>247</v>
      </c>
      <c r="E21" s="62"/>
      <c r="F21" s="37" t="s">
        <v>231</v>
      </c>
      <c r="G21" s="37"/>
      <c r="H21" s="37"/>
      <c r="I21" s="37"/>
      <c r="J21" s="37"/>
      <c r="K21" s="37"/>
      <c r="L21" s="37"/>
      <c r="M21" s="37"/>
      <c r="N21" s="37"/>
      <c r="O21" s="37"/>
      <c r="P21" s="37"/>
      <c r="Q21" s="37"/>
      <c r="R21" s="37"/>
      <c r="S21" s="37"/>
      <c r="T21" s="105"/>
    </row>
    <row r="22" ht="13.5" customHeight="1" spans="1:20">
      <c r="A22" s="58"/>
      <c r="B22" s="59"/>
      <c r="C22" s="60"/>
      <c r="D22" s="61" t="s">
        <v>248</v>
      </c>
      <c r="E22" s="63"/>
      <c r="F22" s="37"/>
      <c r="G22" s="37" t="s">
        <v>231</v>
      </c>
      <c r="H22" s="37" t="s">
        <v>231</v>
      </c>
      <c r="I22" s="37"/>
      <c r="J22" s="37"/>
      <c r="K22" s="37"/>
      <c r="L22" s="37"/>
      <c r="M22" s="37"/>
      <c r="N22" s="37"/>
      <c r="O22" s="37"/>
      <c r="P22" s="37"/>
      <c r="Q22" s="37"/>
      <c r="R22" s="37"/>
      <c r="S22" s="37"/>
      <c r="T22" s="105"/>
    </row>
    <row r="23" ht="13.5" customHeight="1" spans="1:20">
      <c r="A23" s="58"/>
      <c r="B23" s="59" t="s">
        <v>249</v>
      </c>
      <c r="C23" s="60"/>
      <c r="D23" s="61"/>
      <c r="E23" s="63"/>
      <c r="F23" s="37"/>
      <c r="G23" s="37"/>
      <c r="H23" s="37"/>
      <c r="I23" s="37"/>
      <c r="J23" s="37"/>
      <c r="K23" s="37"/>
      <c r="L23" s="37"/>
      <c r="M23" s="37"/>
      <c r="N23" s="37"/>
      <c r="O23" s="37"/>
      <c r="P23" s="37"/>
      <c r="Q23" s="37"/>
      <c r="R23" s="37"/>
      <c r="S23" s="37"/>
      <c r="T23" s="105"/>
    </row>
    <row r="24" ht="13.5" customHeight="1" spans="1:20">
      <c r="A24" s="58"/>
      <c r="B24" s="59"/>
      <c r="C24" s="60"/>
      <c r="D24" s="61" t="s">
        <v>405</v>
      </c>
      <c r="E24" s="63"/>
      <c r="F24" s="37"/>
      <c r="G24" s="37" t="s">
        <v>231</v>
      </c>
      <c r="H24" s="37"/>
      <c r="I24" s="37"/>
      <c r="J24" s="37"/>
      <c r="K24" s="37"/>
      <c r="L24" s="37"/>
      <c r="M24" s="37"/>
      <c r="N24" s="37"/>
      <c r="O24" s="37"/>
      <c r="P24" s="37"/>
      <c r="Q24" s="37"/>
      <c r="R24" s="37"/>
      <c r="S24" s="37"/>
      <c r="T24" s="105"/>
    </row>
    <row r="25" ht="13.5" customHeight="1" spans="1:20">
      <c r="A25" s="58"/>
      <c r="B25" s="59" t="s">
        <v>250</v>
      </c>
      <c r="C25" s="60"/>
      <c r="D25" s="61"/>
      <c r="E25" s="63"/>
      <c r="F25" s="37"/>
      <c r="G25" s="37"/>
      <c r="H25" s="37"/>
      <c r="I25" s="37"/>
      <c r="J25" s="37"/>
      <c r="K25" s="37"/>
      <c r="L25" s="37"/>
      <c r="M25" s="37"/>
      <c r="N25" s="37"/>
      <c r="O25" s="37"/>
      <c r="P25" s="37"/>
      <c r="Q25" s="37"/>
      <c r="R25" s="37"/>
      <c r="S25" s="37"/>
      <c r="T25" s="105"/>
    </row>
    <row r="26" ht="13.5" customHeight="1" spans="1:20">
      <c r="A26" s="58"/>
      <c r="B26" s="64"/>
      <c r="C26" s="65"/>
      <c r="D26" s="66" t="s">
        <v>406</v>
      </c>
      <c r="E26" s="63"/>
      <c r="F26" s="37"/>
      <c r="G26" s="37"/>
      <c r="H26" s="37"/>
      <c r="I26" s="37"/>
      <c r="J26" s="37"/>
      <c r="K26" s="37"/>
      <c r="L26" s="37"/>
      <c r="M26" s="37"/>
      <c r="N26" s="37"/>
      <c r="O26" s="37"/>
      <c r="P26" s="37"/>
      <c r="Q26" s="37"/>
      <c r="R26" s="37"/>
      <c r="S26" s="37"/>
      <c r="T26" s="105"/>
    </row>
    <row r="27" ht="13.5" customHeight="1" spans="1:20">
      <c r="A27" s="58"/>
      <c r="B27" s="67"/>
      <c r="C27" s="68"/>
      <c r="D27" s="69" t="s">
        <v>407</v>
      </c>
      <c r="E27" s="70"/>
      <c r="F27" s="46" t="s">
        <v>231</v>
      </c>
      <c r="G27" s="46"/>
      <c r="H27" s="46" t="s">
        <v>231</v>
      </c>
      <c r="I27" s="46"/>
      <c r="J27" s="46"/>
      <c r="K27" s="46"/>
      <c r="L27" s="46"/>
      <c r="M27" s="46"/>
      <c r="N27" s="46"/>
      <c r="O27" s="46"/>
      <c r="P27" s="46"/>
      <c r="Q27" s="46"/>
      <c r="R27" s="46"/>
      <c r="S27" s="46"/>
      <c r="T27" s="107"/>
    </row>
    <row r="28" ht="13.5" customHeight="1" spans="1:20">
      <c r="A28" s="58"/>
      <c r="B28" s="67"/>
      <c r="C28" s="71"/>
      <c r="D28" s="69"/>
      <c r="E28" s="72"/>
      <c r="F28" s="46"/>
      <c r="G28" s="46"/>
      <c r="H28" s="46"/>
      <c r="I28" s="46"/>
      <c r="J28" s="46"/>
      <c r="K28" s="46"/>
      <c r="L28" s="46"/>
      <c r="M28" s="46"/>
      <c r="N28" s="46"/>
      <c r="O28" s="46"/>
      <c r="P28" s="46"/>
      <c r="Q28" s="46"/>
      <c r="R28" s="46"/>
      <c r="S28" s="46"/>
      <c r="T28" s="107"/>
    </row>
    <row r="29" ht="13.5" customHeight="1" spans="1:20">
      <c r="A29" s="53" t="s">
        <v>255</v>
      </c>
      <c r="B29" s="73" t="s">
        <v>256</v>
      </c>
      <c r="C29" s="73"/>
      <c r="D29" s="73"/>
      <c r="E29" s="74"/>
      <c r="F29" s="75" t="s">
        <v>197</v>
      </c>
      <c r="G29" s="75" t="s">
        <v>197</v>
      </c>
      <c r="H29" s="75" t="s">
        <v>197</v>
      </c>
      <c r="I29" s="75"/>
      <c r="J29" s="75"/>
      <c r="K29" s="75"/>
      <c r="L29" s="75"/>
      <c r="M29" s="95"/>
      <c r="N29" s="95"/>
      <c r="O29" s="95"/>
      <c r="P29" s="95"/>
      <c r="Q29" s="95"/>
      <c r="R29" s="95"/>
      <c r="S29" s="95"/>
      <c r="T29" s="109"/>
    </row>
    <row r="30" ht="13.5" customHeight="1" spans="1:20">
      <c r="A30" s="58"/>
      <c r="B30" s="76" t="s">
        <v>257</v>
      </c>
      <c r="C30" s="76"/>
      <c r="D30" s="76"/>
      <c r="E30" s="77"/>
      <c r="F30" s="78" t="s">
        <v>258</v>
      </c>
      <c r="G30" s="78" t="s">
        <v>271</v>
      </c>
      <c r="H30" s="78" t="s">
        <v>271</v>
      </c>
      <c r="I30" s="78"/>
      <c r="J30" s="78"/>
      <c r="K30" s="78"/>
      <c r="L30" s="78"/>
      <c r="M30" s="96"/>
      <c r="N30" s="96"/>
      <c r="O30" s="96"/>
      <c r="P30" s="96"/>
      <c r="Q30" s="96"/>
      <c r="R30" s="96"/>
      <c r="S30" s="96"/>
      <c r="T30" s="110"/>
    </row>
    <row r="31" ht="13.5" customHeight="1" spans="1:20">
      <c r="A31" s="58"/>
      <c r="B31" s="79" t="s">
        <v>259</v>
      </c>
      <c r="C31" s="79"/>
      <c r="D31" s="79"/>
      <c r="E31" s="80"/>
      <c r="F31" s="81">
        <v>44165</v>
      </c>
      <c r="G31" s="81">
        <v>44165</v>
      </c>
      <c r="H31" s="81">
        <v>44165</v>
      </c>
      <c r="I31" s="81"/>
      <c r="J31" s="81"/>
      <c r="K31" s="81"/>
      <c r="L31" s="81"/>
      <c r="M31" s="97"/>
      <c r="N31" s="97"/>
      <c r="O31" s="97"/>
      <c r="P31" s="97"/>
      <c r="Q31" s="97"/>
      <c r="R31" s="97"/>
      <c r="S31" s="97"/>
      <c r="T31" s="111"/>
    </row>
    <row r="32" ht="13.95" spans="1:20">
      <c r="A32" s="82"/>
      <c r="B32" s="83" t="s">
        <v>260</v>
      </c>
      <c r="C32" s="83"/>
      <c r="D32" s="83"/>
      <c r="E32" s="84"/>
      <c r="F32" s="85"/>
      <c r="G32" s="85"/>
      <c r="H32" s="85"/>
      <c r="I32" s="85"/>
      <c r="J32" s="85"/>
      <c r="K32" s="85"/>
      <c r="L32" s="85"/>
      <c r="M32" s="85"/>
      <c r="N32" s="85"/>
      <c r="O32" s="85"/>
      <c r="P32" s="85"/>
      <c r="Q32" s="85"/>
      <c r="R32" s="85"/>
      <c r="S32" s="85"/>
      <c r="T32" s="112"/>
    </row>
    <row r="33" ht="13.95" spans="1:1">
      <c r="A33" s="86"/>
    </row>
  </sheetData>
  <mergeCells count="27">
    <mergeCell ref="A2:B2"/>
    <mergeCell ref="C2:E2"/>
    <mergeCell ref="F2:K2"/>
    <mergeCell ref="L2:T2"/>
    <mergeCell ref="A3:B3"/>
    <mergeCell ref="C3:E3"/>
    <mergeCell ref="F3:K3"/>
    <mergeCell ref="L3:T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9:D29"/>
    <mergeCell ref="B30:D30"/>
    <mergeCell ref="B31:D31"/>
    <mergeCell ref="B32:D32"/>
  </mergeCells>
  <dataValidations count="3">
    <dataValidation type="list" allowBlank="1" showErrorMessage="1" sqref="F29:T29">
      <formula1>"N,A,B,"</formula1>
    </dataValidation>
    <dataValidation type="list" allowBlank="1" showErrorMessage="1" sqref="F30:T30">
      <formula1>"P,F,"</formula1>
    </dataValidation>
    <dataValidation type="list" allowBlank="1" showErrorMessage="1" sqref="F10:T28">
      <formula1>"O,"</formula1>
    </dataValidation>
  </dataValidations>
  <pageMargins left="0.7" right="0.7" top="0.75" bottom="0.75" header="0.3" footer="0.3"/>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6"/>
  <sheetViews>
    <sheetView workbookViewId="0">
      <selection activeCell="A1" sqref="A1"/>
    </sheetView>
  </sheetViews>
  <sheetFormatPr defaultColWidth="8.99074074074074" defaultRowHeight="13.2"/>
  <cols>
    <col min="1" max="1" width="8.10185185185185" style="4" customWidth="1"/>
    <col min="2" max="2" width="13.3333333333333" style="5" customWidth="1"/>
    <col min="3" max="3" width="10.6574074074074" style="4" customWidth="1"/>
    <col min="4" max="4" width="38.1018518518519" style="6" customWidth="1"/>
    <col min="5" max="5" width="1.10185185185185" style="4" hidden="1" customWidth="1"/>
    <col min="6" max="21" width="2.76851851851852" style="4" customWidth="1"/>
    <col min="22" max="257" width="8.99074074074074" style="4"/>
  </cols>
  <sheetData>
    <row r="1" ht="13.5" customHeight="1" spans="1:2">
      <c r="A1" s="7"/>
      <c r="B1" s="8"/>
    </row>
    <row r="2" ht="13.5" customHeight="1" spans="1:22">
      <c r="A2" s="9" t="s">
        <v>207</v>
      </c>
      <c r="B2" s="9"/>
      <c r="C2" s="10" t="s">
        <v>187</v>
      </c>
      <c r="D2" s="10"/>
      <c r="E2" s="10"/>
      <c r="F2" s="11" t="s">
        <v>119</v>
      </c>
      <c r="G2" s="11"/>
      <c r="H2" s="11"/>
      <c r="I2" s="11"/>
      <c r="J2" s="11"/>
      <c r="K2" s="11"/>
      <c r="L2" s="87" t="s">
        <v>186</v>
      </c>
      <c r="M2" s="87"/>
      <c r="N2" s="87"/>
      <c r="O2" s="87"/>
      <c r="P2" s="87"/>
      <c r="Q2" s="87"/>
      <c r="R2" s="87"/>
      <c r="S2" s="87"/>
      <c r="T2" s="87"/>
      <c r="V2" s="98"/>
    </row>
    <row r="3" ht="13.5" customHeight="1" spans="1:20">
      <c r="A3" s="12" t="s">
        <v>208</v>
      </c>
      <c r="B3" s="12"/>
      <c r="C3" s="13" t="s">
        <v>209</v>
      </c>
      <c r="D3" s="13"/>
      <c r="E3" s="13"/>
      <c r="F3" s="14" t="s">
        <v>210</v>
      </c>
      <c r="G3" s="14"/>
      <c r="H3" s="14"/>
      <c r="I3" s="14"/>
      <c r="J3" s="14"/>
      <c r="K3" s="14"/>
      <c r="L3" s="17" t="s">
        <v>135</v>
      </c>
      <c r="M3" s="17"/>
      <c r="N3" s="17"/>
      <c r="O3" s="17"/>
      <c r="P3" s="17"/>
      <c r="Q3" s="17"/>
      <c r="R3" s="17"/>
      <c r="S3" s="17"/>
      <c r="T3" s="17"/>
    </row>
    <row r="4" ht="15.75" customHeight="1" spans="1:22">
      <c r="A4" s="12" t="s">
        <v>211</v>
      </c>
      <c r="B4" s="12"/>
      <c r="C4" s="15">
        <v>70</v>
      </c>
      <c r="D4" s="15"/>
      <c r="E4" s="16"/>
      <c r="F4" s="14" t="s">
        <v>212</v>
      </c>
      <c r="G4" s="14"/>
      <c r="H4" s="14"/>
      <c r="I4" s="14"/>
      <c r="J4" s="14"/>
      <c r="K4" s="14"/>
      <c r="L4" s="88"/>
      <c r="M4" s="88"/>
      <c r="N4" s="88"/>
      <c r="O4" s="88"/>
      <c r="P4" s="88"/>
      <c r="Q4" s="88"/>
      <c r="R4" s="88"/>
      <c r="S4" s="88"/>
      <c r="T4" s="88"/>
      <c r="V4" s="98"/>
    </row>
    <row r="5" ht="15.75" customHeight="1" spans="1:20">
      <c r="A5" s="12" t="s">
        <v>213</v>
      </c>
      <c r="B5" s="12"/>
      <c r="C5" s="17" t="s">
        <v>408</v>
      </c>
      <c r="D5" s="17"/>
      <c r="E5" s="17"/>
      <c r="F5" s="17"/>
      <c r="G5" s="17"/>
      <c r="H5" s="17"/>
      <c r="I5" s="17"/>
      <c r="J5" s="17"/>
      <c r="K5" s="17"/>
      <c r="L5" s="17"/>
      <c r="M5" s="17"/>
      <c r="N5" s="17"/>
      <c r="O5" s="17"/>
      <c r="P5" s="17"/>
      <c r="Q5" s="17"/>
      <c r="R5" s="17"/>
      <c r="S5" s="17"/>
      <c r="T5" s="17"/>
    </row>
    <row r="6" ht="13.5" customHeight="1" spans="1:22">
      <c r="A6" s="18" t="s">
        <v>194</v>
      </c>
      <c r="B6" s="18"/>
      <c r="C6" s="19" t="s">
        <v>195</v>
      </c>
      <c r="D6" s="19"/>
      <c r="E6" s="19"/>
      <c r="F6" s="19" t="s">
        <v>196</v>
      </c>
      <c r="G6" s="19"/>
      <c r="H6" s="19"/>
      <c r="I6" s="19"/>
      <c r="J6" s="19"/>
      <c r="K6" s="19"/>
      <c r="L6" s="89" t="s">
        <v>215</v>
      </c>
      <c r="M6" s="89"/>
      <c r="N6" s="89"/>
      <c r="O6" s="90" t="s">
        <v>199</v>
      </c>
      <c r="P6" s="90"/>
      <c r="Q6" s="90"/>
      <c r="R6" s="90"/>
      <c r="S6" s="90"/>
      <c r="T6" s="90"/>
      <c r="V6" s="98"/>
    </row>
    <row r="7" ht="13.5" customHeight="1" spans="1:21">
      <c r="A7" s="20">
        <f>COUNTIF(F53:HQ53,"P")</f>
        <v>7</v>
      </c>
      <c r="B7" s="20"/>
      <c r="C7" s="21">
        <f>COUNTIF(F53:HQ53,"F")</f>
        <v>0</v>
      </c>
      <c r="D7" s="21"/>
      <c r="E7" s="21"/>
      <c r="F7" s="21">
        <f>SUM(O7,-A7,-C7)</f>
        <v>0</v>
      </c>
      <c r="G7" s="21"/>
      <c r="H7" s="21"/>
      <c r="I7" s="21"/>
      <c r="J7" s="21"/>
      <c r="K7" s="21"/>
      <c r="L7" s="91">
        <f>COUNTIF(E52:HQ52,"N")</f>
        <v>7</v>
      </c>
      <c r="M7" s="91">
        <f>COUNTIF(E52:HQ52,"A")</f>
        <v>0</v>
      </c>
      <c r="N7" s="91">
        <f>COUNTIF(E52:HQ52,"B")</f>
        <v>0</v>
      </c>
      <c r="O7" s="92">
        <f>COUNTA(E9:HT9)</f>
        <v>7</v>
      </c>
      <c r="P7" s="92"/>
      <c r="Q7" s="92"/>
      <c r="R7" s="92"/>
      <c r="S7" s="92"/>
      <c r="T7" s="92"/>
      <c r="U7" s="99"/>
    </row>
    <row r="8" ht="13.95"/>
    <row r="9" ht="46.5" customHeight="1" spans="1:23">
      <c r="A9" s="22"/>
      <c r="B9" s="23"/>
      <c r="C9" s="24"/>
      <c r="D9" s="25"/>
      <c r="E9" s="24"/>
      <c r="F9" s="26" t="s">
        <v>216</v>
      </c>
      <c r="G9" s="26" t="s">
        <v>217</v>
      </c>
      <c r="H9" s="26" t="s">
        <v>218</v>
      </c>
      <c r="I9" s="26" t="s">
        <v>219</v>
      </c>
      <c r="J9" s="26" t="s">
        <v>220</v>
      </c>
      <c r="K9" s="26" t="s">
        <v>221</v>
      </c>
      <c r="L9" s="26" t="s">
        <v>222</v>
      </c>
      <c r="M9" s="93"/>
      <c r="N9" s="93"/>
      <c r="O9" s="93"/>
      <c r="P9" s="93"/>
      <c r="Q9" s="93"/>
      <c r="R9" s="93"/>
      <c r="S9" s="93"/>
      <c r="T9" s="100"/>
      <c r="U9" s="101"/>
      <c r="V9" s="102"/>
      <c r="W9" s="103"/>
    </row>
    <row r="10" ht="13.5" customHeight="1" spans="1:20">
      <c r="A10" s="27" t="s">
        <v>225</v>
      </c>
      <c r="B10" s="28" t="s">
        <v>226</v>
      </c>
      <c r="C10" s="29"/>
      <c r="D10" s="30"/>
      <c r="E10" s="31"/>
      <c r="F10" s="32"/>
      <c r="G10" s="32"/>
      <c r="H10" s="32"/>
      <c r="I10" s="32"/>
      <c r="J10" s="32"/>
      <c r="K10" s="32"/>
      <c r="L10" s="32"/>
      <c r="M10" s="32"/>
      <c r="N10" s="32"/>
      <c r="O10" s="32"/>
      <c r="P10" s="32"/>
      <c r="Q10" s="32"/>
      <c r="R10" s="32"/>
      <c r="S10" s="32"/>
      <c r="T10" s="104"/>
    </row>
    <row r="11" ht="13.5" customHeight="1" spans="1:22">
      <c r="A11" s="33"/>
      <c r="B11" s="34"/>
      <c r="C11" s="35"/>
      <c r="D11" s="36" t="s">
        <v>289</v>
      </c>
      <c r="E11" s="31"/>
      <c r="F11" s="37"/>
      <c r="G11" s="37"/>
      <c r="H11" s="37"/>
      <c r="I11" s="37"/>
      <c r="J11" s="37"/>
      <c r="K11" s="37"/>
      <c r="L11" s="37"/>
      <c r="M11" s="37"/>
      <c r="N11" s="37"/>
      <c r="O11" s="37"/>
      <c r="P11" s="37"/>
      <c r="Q11" s="37"/>
      <c r="R11" s="37"/>
      <c r="S11" s="37"/>
      <c r="T11" s="105"/>
      <c r="V11" s="98"/>
    </row>
    <row r="12" ht="13.5" customHeight="1" spans="1:20">
      <c r="A12" s="33"/>
      <c r="B12" s="34" t="s">
        <v>228</v>
      </c>
      <c r="C12" s="35"/>
      <c r="D12" s="36"/>
      <c r="E12" s="31"/>
      <c r="F12" s="37"/>
      <c r="G12" s="37"/>
      <c r="H12" s="37"/>
      <c r="I12" s="37"/>
      <c r="J12" s="37"/>
      <c r="K12" s="37"/>
      <c r="L12" s="37"/>
      <c r="M12" s="37"/>
      <c r="N12" s="37"/>
      <c r="O12" s="37"/>
      <c r="P12" s="37"/>
      <c r="Q12" s="37"/>
      <c r="R12" s="37"/>
      <c r="S12" s="37"/>
      <c r="T12" s="105"/>
    </row>
    <row r="13" ht="13.5" customHeight="1" spans="1:20">
      <c r="A13" s="33"/>
      <c r="B13" s="34"/>
      <c r="C13" s="38" t="s">
        <v>388</v>
      </c>
      <c r="D13" s="36" t="s">
        <v>409</v>
      </c>
      <c r="E13" s="39"/>
      <c r="F13" s="37"/>
      <c r="G13" s="37"/>
      <c r="H13" s="37"/>
      <c r="I13" s="37"/>
      <c r="J13" s="37"/>
      <c r="K13" s="37"/>
      <c r="L13" s="37"/>
      <c r="M13" s="37"/>
      <c r="N13" s="37"/>
      <c r="O13" s="37"/>
      <c r="P13" s="37"/>
      <c r="Q13" s="37"/>
      <c r="R13" s="37"/>
      <c r="S13" s="37"/>
      <c r="T13" s="105"/>
    </row>
    <row r="14" ht="13.5" customHeight="1" spans="1:20">
      <c r="A14" s="33"/>
      <c r="B14" s="34"/>
      <c r="C14" s="38" t="s">
        <v>410</v>
      </c>
      <c r="D14" s="36" t="s">
        <v>411</v>
      </c>
      <c r="E14" s="39"/>
      <c r="F14" s="37"/>
      <c r="G14" s="37"/>
      <c r="H14" s="37"/>
      <c r="I14" s="37"/>
      <c r="J14" s="37"/>
      <c r="K14" s="37"/>
      <c r="L14" s="37"/>
      <c r="M14" s="37"/>
      <c r="N14" s="37"/>
      <c r="O14" s="37"/>
      <c r="P14" s="37"/>
      <c r="Q14" s="37"/>
      <c r="R14" s="37"/>
      <c r="S14" s="37"/>
      <c r="T14" s="105"/>
    </row>
    <row r="15" ht="13.5" customHeight="1" spans="1:20">
      <c r="A15" s="33"/>
      <c r="B15" s="34"/>
      <c r="C15" s="35" t="s">
        <v>412</v>
      </c>
      <c r="D15" s="40"/>
      <c r="E15" s="41"/>
      <c r="F15" s="37"/>
      <c r="G15" s="37"/>
      <c r="H15" s="37"/>
      <c r="I15" s="37"/>
      <c r="J15" s="37"/>
      <c r="K15" s="37"/>
      <c r="L15" s="37"/>
      <c r="M15" s="37"/>
      <c r="N15" s="37"/>
      <c r="O15" s="37"/>
      <c r="P15" s="37"/>
      <c r="Q15" s="37"/>
      <c r="R15" s="37"/>
      <c r="S15" s="37"/>
      <c r="T15" s="105"/>
    </row>
    <row r="16" ht="13.5" customHeight="1" spans="1:20">
      <c r="A16" s="33"/>
      <c r="B16" s="34"/>
      <c r="C16" s="35"/>
      <c r="D16" s="42" t="s">
        <v>230</v>
      </c>
      <c r="E16" s="41"/>
      <c r="F16" s="37" t="s">
        <v>231</v>
      </c>
      <c r="G16" s="37"/>
      <c r="H16" s="37"/>
      <c r="I16" s="37"/>
      <c r="J16" s="37"/>
      <c r="K16" s="37"/>
      <c r="L16" s="37"/>
      <c r="M16" s="37"/>
      <c r="N16" s="37"/>
      <c r="O16" s="37"/>
      <c r="P16" s="37"/>
      <c r="Q16" s="37"/>
      <c r="R16" s="37"/>
      <c r="S16" s="37"/>
      <c r="T16" s="105"/>
    </row>
    <row r="17" ht="13.5" customHeight="1" spans="1:20">
      <c r="A17" s="33"/>
      <c r="B17" s="34"/>
      <c r="C17" s="35"/>
      <c r="D17" s="42" t="s">
        <v>391</v>
      </c>
      <c r="E17" s="41"/>
      <c r="F17" s="37"/>
      <c r="G17" s="37" t="s">
        <v>231</v>
      </c>
      <c r="H17" s="37"/>
      <c r="I17" s="37"/>
      <c r="J17" s="37"/>
      <c r="K17" s="37"/>
      <c r="L17" s="37"/>
      <c r="M17" s="37"/>
      <c r="N17" s="37"/>
      <c r="O17" s="37"/>
      <c r="P17" s="37"/>
      <c r="Q17" s="37"/>
      <c r="R17" s="37"/>
      <c r="S17" s="37"/>
      <c r="T17" s="105"/>
    </row>
    <row r="18" ht="13.5" customHeight="1" spans="1:20">
      <c r="A18" s="33"/>
      <c r="B18" s="34"/>
      <c r="C18" s="35"/>
      <c r="D18" s="43" t="s">
        <v>392</v>
      </c>
      <c r="E18" s="41"/>
      <c r="F18" s="37"/>
      <c r="G18" s="37"/>
      <c r="H18" s="37" t="s">
        <v>231</v>
      </c>
      <c r="I18" s="37"/>
      <c r="J18" s="37"/>
      <c r="K18" s="37"/>
      <c r="L18" s="37"/>
      <c r="M18" s="37"/>
      <c r="N18" s="37"/>
      <c r="O18" s="37"/>
      <c r="P18" s="37"/>
      <c r="Q18" s="37"/>
      <c r="R18" s="37"/>
      <c r="S18" s="37"/>
      <c r="T18" s="105"/>
    </row>
    <row r="19" ht="13.5" customHeight="1" spans="1:20">
      <c r="A19" s="33"/>
      <c r="B19" s="34"/>
      <c r="C19" s="35"/>
      <c r="D19" s="42" t="s">
        <v>393</v>
      </c>
      <c r="E19" s="41"/>
      <c r="F19" s="37"/>
      <c r="G19" s="37"/>
      <c r="H19" s="37"/>
      <c r="I19" s="37" t="s">
        <v>231</v>
      </c>
      <c r="J19" s="37"/>
      <c r="K19" s="37"/>
      <c r="L19" s="37"/>
      <c r="M19" s="37"/>
      <c r="N19" s="94"/>
      <c r="O19" s="37"/>
      <c r="P19" s="37"/>
      <c r="Q19" s="37"/>
      <c r="R19" s="37"/>
      <c r="S19" s="37"/>
      <c r="T19" s="105"/>
    </row>
    <row r="20" ht="13.5" customHeight="1" spans="1:20">
      <c r="A20" s="33"/>
      <c r="B20" s="34"/>
      <c r="C20" s="35"/>
      <c r="D20" s="43" t="s">
        <v>413</v>
      </c>
      <c r="E20" s="41"/>
      <c r="F20" s="37"/>
      <c r="G20" s="37"/>
      <c r="H20" s="37"/>
      <c r="I20" s="37"/>
      <c r="J20" s="37" t="s">
        <v>231</v>
      </c>
      <c r="K20" s="37"/>
      <c r="L20" s="37"/>
      <c r="M20" s="37"/>
      <c r="N20" s="37"/>
      <c r="O20" s="37"/>
      <c r="P20" s="37"/>
      <c r="Q20" s="37"/>
      <c r="R20" s="37"/>
      <c r="S20" s="37"/>
      <c r="T20" s="105"/>
    </row>
    <row r="21" ht="13.5" customHeight="1" spans="1:20">
      <c r="A21" s="33"/>
      <c r="B21" s="34"/>
      <c r="C21" s="35"/>
      <c r="D21" s="43" t="s">
        <v>135</v>
      </c>
      <c r="E21" s="41"/>
      <c r="F21" s="37"/>
      <c r="G21" s="37"/>
      <c r="H21" s="37"/>
      <c r="I21" s="37"/>
      <c r="J21" s="37"/>
      <c r="K21" s="37" t="s">
        <v>231</v>
      </c>
      <c r="L21" s="37"/>
      <c r="M21" s="37"/>
      <c r="N21" s="37"/>
      <c r="O21" s="37"/>
      <c r="P21" s="37"/>
      <c r="Q21" s="37"/>
      <c r="R21" s="37"/>
      <c r="S21" s="37"/>
      <c r="T21" s="105"/>
    </row>
    <row r="22" ht="13.5" customHeight="1" spans="1:20">
      <c r="A22" s="33"/>
      <c r="B22" s="34"/>
      <c r="C22" s="35"/>
      <c r="D22" s="43" t="s">
        <v>129</v>
      </c>
      <c r="E22" s="41"/>
      <c r="F22" s="37"/>
      <c r="G22" s="37"/>
      <c r="H22" s="37"/>
      <c r="I22" s="37"/>
      <c r="J22" s="37"/>
      <c r="K22" s="37"/>
      <c r="L22" s="37" t="s">
        <v>231</v>
      </c>
      <c r="M22" s="37"/>
      <c r="N22" s="37"/>
      <c r="O22" s="37"/>
      <c r="P22" s="37"/>
      <c r="Q22" s="37"/>
      <c r="R22" s="37"/>
      <c r="S22" s="37"/>
      <c r="T22" s="105"/>
    </row>
    <row r="23" ht="13.5" customHeight="1" spans="1:21">
      <c r="A23" s="33"/>
      <c r="B23" s="34"/>
      <c r="C23" s="35" t="s">
        <v>414</v>
      </c>
      <c r="D23" s="42"/>
      <c r="E23" s="41"/>
      <c r="F23" s="37"/>
      <c r="G23" s="37"/>
      <c r="H23" s="37"/>
      <c r="I23" s="37"/>
      <c r="J23" s="37"/>
      <c r="K23" s="37"/>
      <c r="L23" s="37"/>
      <c r="M23" s="37"/>
      <c r="N23" s="37"/>
      <c r="O23" s="37"/>
      <c r="P23" s="37"/>
      <c r="Q23" s="37"/>
      <c r="R23" s="37"/>
      <c r="S23" s="37"/>
      <c r="T23" s="105"/>
      <c r="U23" s="106"/>
    </row>
    <row r="24" ht="13.5" customHeight="1" spans="1:20">
      <c r="A24" s="33"/>
      <c r="B24" s="34"/>
      <c r="C24" s="38"/>
      <c r="D24" s="42" t="s">
        <v>415</v>
      </c>
      <c r="E24" s="41"/>
      <c r="F24" s="37" t="s">
        <v>231</v>
      </c>
      <c r="G24" s="37"/>
      <c r="H24" s="37"/>
      <c r="I24" s="37"/>
      <c r="J24" s="37"/>
      <c r="K24" s="37"/>
      <c r="L24" s="37"/>
      <c r="M24" s="37"/>
      <c r="N24" s="37"/>
      <c r="O24" s="37"/>
      <c r="P24" s="37"/>
      <c r="Q24" s="37"/>
      <c r="R24" s="37"/>
      <c r="S24" s="37"/>
      <c r="T24" s="105"/>
    </row>
    <row r="25" ht="13.5" customHeight="1" spans="1:20">
      <c r="A25" s="33"/>
      <c r="B25" s="34"/>
      <c r="C25" s="35"/>
      <c r="D25" s="42" t="s">
        <v>230</v>
      </c>
      <c r="E25" s="41"/>
      <c r="F25" s="37"/>
      <c r="G25" s="37" t="s">
        <v>231</v>
      </c>
      <c r="H25" s="37"/>
      <c r="I25" s="37"/>
      <c r="J25" s="37"/>
      <c r="K25" s="37"/>
      <c r="L25" s="37"/>
      <c r="M25" s="37"/>
      <c r="N25" s="37"/>
      <c r="O25" s="37"/>
      <c r="P25" s="37"/>
      <c r="Q25" s="37"/>
      <c r="R25" s="37"/>
      <c r="S25" s="37"/>
      <c r="T25" s="105"/>
    </row>
    <row r="26" ht="13.5" customHeight="1" spans="1:20">
      <c r="A26" s="33"/>
      <c r="B26" s="34"/>
      <c r="C26" s="35"/>
      <c r="D26" s="42" t="s">
        <v>416</v>
      </c>
      <c r="E26" s="41"/>
      <c r="F26" s="37"/>
      <c r="G26" s="37"/>
      <c r="H26" s="37" t="s">
        <v>231</v>
      </c>
      <c r="I26" s="37"/>
      <c r="J26" s="37"/>
      <c r="K26" s="37"/>
      <c r="L26" s="37"/>
      <c r="M26" s="37"/>
      <c r="N26" s="37"/>
      <c r="O26" s="37"/>
      <c r="P26" s="37"/>
      <c r="Q26" s="37"/>
      <c r="R26" s="37"/>
      <c r="S26" s="37"/>
      <c r="T26" s="105"/>
    </row>
    <row r="27" ht="13.5" customHeight="1" spans="1:20">
      <c r="A27" s="33"/>
      <c r="B27" s="34"/>
      <c r="C27" s="35"/>
      <c r="D27" s="42" t="s">
        <v>417</v>
      </c>
      <c r="E27" s="41"/>
      <c r="F27" s="37"/>
      <c r="G27" s="37"/>
      <c r="H27" s="37"/>
      <c r="I27" s="37" t="s">
        <v>231</v>
      </c>
      <c r="J27" s="37"/>
      <c r="K27" s="37"/>
      <c r="L27" s="37"/>
      <c r="M27" s="37"/>
      <c r="N27" s="37"/>
      <c r="O27" s="37"/>
      <c r="P27" s="37"/>
      <c r="Q27" s="37"/>
      <c r="R27" s="37"/>
      <c r="S27" s="37"/>
      <c r="T27" s="105"/>
    </row>
    <row r="28" ht="13.5" customHeight="1" spans="1:20">
      <c r="A28" s="33"/>
      <c r="B28" s="44"/>
      <c r="C28" s="45"/>
      <c r="D28" s="43" t="s">
        <v>418</v>
      </c>
      <c r="E28" s="41"/>
      <c r="F28" s="46"/>
      <c r="G28" s="46"/>
      <c r="H28" s="46"/>
      <c r="I28" s="46"/>
      <c r="J28" s="46" t="s">
        <v>231</v>
      </c>
      <c r="K28" s="46"/>
      <c r="L28" s="46"/>
      <c r="M28" s="46"/>
      <c r="N28" s="46"/>
      <c r="O28" s="46"/>
      <c r="P28" s="46"/>
      <c r="Q28" s="46"/>
      <c r="R28" s="46"/>
      <c r="S28" s="46"/>
      <c r="T28" s="107"/>
    </row>
    <row r="29" ht="13.5" customHeight="1" spans="1:20">
      <c r="A29" s="33"/>
      <c r="B29" s="44"/>
      <c r="C29" s="45"/>
      <c r="D29" s="43" t="s">
        <v>419</v>
      </c>
      <c r="E29" s="41"/>
      <c r="F29" s="46"/>
      <c r="G29" s="46"/>
      <c r="H29" s="46"/>
      <c r="I29" s="46"/>
      <c r="J29" s="46"/>
      <c r="K29" s="46" t="s">
        <v>231</v>
      </c>
      <c r="L29" s="46"/>
      <c r="M29" s="46"/>
      <c r="N29" s="46"/>
      <c r="O29" s="46"/>
      <c r="P29" s="46"/>
      <c r="Q29" s="46"/>
      <c r="R29" s="46"/>
      <c r="S29" s="46"/>
      <c r="T29" s="107"/>
    </row>
    <row r="30" ht="13.5" customHeight="1" spans="1:20">
      <c r="A30" s="33"/>
      <c r="B30" s="44"/>
      <c r="C30" s="45"/>
      <c r="D30" s="47" t="s">
        <v>420</v>
      </c>
      <c r="E30" s="41"/>
      <c r="F30" s="46"/>
      <c r="G30" s="46"/>
      <c r="H30" s="46"/>
      <c r="I30" s="46"/>
      <c r="J30" s="46"/>
      <c r="K30" s="46"/>
      <c r="L30" s="46" t="s">
        <v>231</v>
      </c>
      <c r="M30" s="46"/>
      <c r="N30" s="46"/>
      <c r="O30" s="46"/>
      <c r="P30" s="46"/>
      <c r="Q30" s="46"/>
      <c r="R30" s="46"/>
      <c r="S30" s="46"/>
      <c r="T30" s="107"/>
    </row>
    <row r="31" ht="13.5" customHeight="1" spans="1:20">
      <c r="A31" s="33"/>
      <c r="B31" s="44"/>
      <c r="C31" s="45" t="s">
        <v>421</v>
      </c>
      <c r="D31" s="47"/>
      <c r="E31" s="41"/>
      <c r="F31" s="46"/>
      <c r="G31" s="46"/>
      <c r="H31" s="46"/>
      <c r="I31" s="46"/>
      <c r="J31" s="46"/>
      <c r="K31" s="46"/>
      <c r="L31" s="46"/>
      <c r="M31" s="46"/>
      <c r="N31" s="46"/>
      <c r="O31" s="46"/>
      <c r="P31" s="46"/>
      <c r="Q31" s="46"/>
      <c r="R31" s="46"/>
      <c r="S31" s="46"/>
      <c r="T31" s="107"/>
    </row>
    <row r="32" ht="13.5" customHeight="1" spans="1:20">
      <c r="A32" s="33"/>
      <c r="B32" s="44"/>
      <c r="C32" s="45"/>
      <c r="D32" s="47" t="s">
        <v>422</v>
      </c>
      <c r="E32" s="41"/>
      <c r="F32" s="46" t="s">
        <v>231</v>
      </c>
      <c r="G32" s="46"/>
      <c r="H32" s="46"/>
      <c r="I32" s="46"/>
      <c r="J32" s="46"/>
      <c r="K32" s="46"/>
      <c r="L32" s="46"/>
      <c r="M32" s="46"/>
      <c r="N32" s="46"/>
      <c r="O32" s="46"/>
      <c r="P32" s="46"/>
      <c r="Q32" s="46"/>
      <c r="R32" s="46"/>
      <c r="S32" s="46"/>
      <c r="T32" s="107"/>
    </row>
    <row r="33" ht="13.5" customHeight="1" spans="1:20">
      <c r="A33" s="33"/>
      <c r="B33" s="44"/>
      <c r="C33" s="45"/>
      <c r="D33" s="47" t="s">
        <v>423</v>
      </c>
      <c r="E33" s="41"/>
      <c r="F33" s="46"/>
      <c r="G33" s="46" t="s">
        <v>231</v>
      </c>
      <c r="H33" s="46"/>
      <c r="I33" s="46"/>
      <c r="J33" s="46"/>
      <c r="K33" s="46"/>
      <c r="L33" s="46"/>
      <c r="M33" s="46"/>
      <c r="N33" s="46"/>
      <c r="O33" s="46"/>
      <c r="P33" s="46"/>
      <c r="Q33" s="46"/>
      <c r="R33" s="46"/>
      <c r="S33" s="46"/>
      <c r="T33" s="107"/>
    </row>
    <row r="34" ht="13.5" customHeight="1" spans="1:20">
      <c r="A34" s="33"/>
      <c r="B34" s="44"/>
      <c r="C34" s="45"/>
      <c r="D34" s="47" t="s">
        <v>424</v>
      </c>
      <c r="E34" s="41"/>
      <c r="F34" s="46"/>
      <c r="G34" s="46"/>
      <c r="H34" s="46" t="s">
        <v>231</v>
      </c>
      <c r="I34" s="46"/>
      <c r="J34" s="46"/>
      <c r="K34" s="46"/>
      <c r="L34" s="46"/>
      <c r="M34" s="46"/>
      <c r="N34" s="46"/>
      <c r="O34" s="46"/>
      <c r="P34" s="46"/>
      <c r="Q34" s="46"/>
      <c r="R34" s="46"/>
      <c r="S34" s="46"/>
      <c r="T34" s="107"/>
    </row>
    <row r="35" ht="13.5" customHeight="1" spans="1:20">
      <c r="A35" s="33"/>
      <c r="B35" s="44"/>
      <c r="C35" s="45"/>
      <c r="D35" s="47" t="s">
        <v>424</v>
      </c>
      <c r="E35" s="41"/>
      <c r="F35" s="46"/>
      <c r="G35" s="46"/>
      <c r="H35" s="46"/>
      <c r="I35" s="46" t="s">
        <v>231</v>
      </c>
      <c r="J35" s="46"/>
      <c r="K35" s="46"/>
      <c r="L35" s="46"/>
      <c r="M35" s="46"/>
      <c r="N35" s="46"/>
      <c r="O35" s="46"/>
      <c r="P35" s="46"/>
      <c r="Q35" s="46"/>
      <c r="R35" s="46"/>
      <c r="S35" s="46"/>
      <c r="T35" s="107"/>
    </row>
    <row r="36" ht="13.5" customHeight="1" spans="1:20">
      <c r="A36" s="33"/>
      <c r="B36" s="44"/>
      <c r="C36" s="45"/>
      <c r="D36" s="47" t="s">
        <v>424</v>
      </c>
      <c r="E36" s="41"/>
      <c r="F36" s="46"/>
      <c r="G36" s="46"/>
      <c r="H36" s="46"/>
      <c r="I36" s="46"/>
      <c r="J36" s="46" t="s">
        <v>231</v>
      </c>
      <c r="K36" s="46"/>
      <c r="L36" s="46"/>
      <c r="M36" s="46"/>
      <c r="N36" s="46"/>
      <c r="O36" s="46"/>
      <c r="P36" s="46"/>
      <c r="Q36" s="46"/>
      <c r="R36" s="46"/>
      <c r="S36" s="46"/>
      <c r="T36" s="107"/>
    </row>
    <row r="37" ht="13.5" customHeight="1" spans="1:20">
      <c r="A37" s="33"/>
      <c r="B37" s="44"/>
      <c r="C37" s="45"/>
      <c r="D37" s="47" t="s">
        <v>424</v>
      </c>
      <c r="E37" s="41"/>
      <c r="F37" s="46"/>
      <c r="G37" s="46"/>
      <c r="H37" s="46"/>
      <c r="I37" s="46"/>
      <c r="J37" s="46"/>
      <c r="K37" s="46" t="s">
        <v>231</v>
      </c>
      <c r="L37" s="46"/>
      <c r="M37" s="46"/>
      <c r="N37" s="46"/>
      <c r="O37" s="46"/>
      <c r="P37" s="46"/>
      <c r="Q37" s="46"/>
      <c r="R37" s="46"/>
      <c r="S37" s="46"/>
      <c r="T37" s="107"/>
    </row>
    <row r="38" ht="13.5" customHeight="1" spans="1:20">
      <c r="A38" s="33"/>
      <c r="B38" s="44"/>
      <c r="C38" s="45"/>
      <c r="D38" s="47" t="s">
        <v>425</v>
      </c>
      <c r="E38" s="41"/>
      <c r="F38" s="46"/>
      <c r="G38" s="46"/>
      <c r="H38" s="46"/>
      <c r="I38" s="46"/>
      <c r="J38" s="46"/>
      <c r="K38" s="46"/>
      <c r="L38" s="46" t="s">
        <v>231</v>
      </c>
      <c r="M38" s="46"/>
      <c r="N38" s="46"/>
      <c r="O38" s="46"/>
      <c r="P38" s="46"/>
      <c r="Q38" s="46"/>
      <c r="R38" s="46"/>
      <c r="S38" s="46"/>
      <c r="T38" s="107"/>
    </row>
    <row r="39" ht="13.5" customHeight="1" spans="1:20">
      <c r="A39" s="33"/>
      <c r="B39" s="44" t="s">
        <v>402</v>
      </c>
      <c r="C39" s="45" t="s">
        <v>143</v>
      </c>
      <c r="D39" s="47"/>
      <c r="E39" s="41"/>
      <c r="F39" s="46"/>
      <c r="G39" s="46"/>
      <c r="H39" s="46"/>
      <c r="I39" s="46"/>
      <c r="J39" s="46"/>
      <c r="K39" s="46"/>
      <c r="L39" s="46"/>
      <c r="M39" s="46"/>
      <c r="N39" s="46"/>
      <c r="O39" s="46"/>
      <c r="P39" s="46"/>
      <c r="Q39" s="46"/>
      <c r="R39" s="46"/>
      <c r="S39" s="46"/>
      <c r="T39" s="107"/>
    </row>
    <row r="40" ht="13.5" customHeight="1" spans="1:20">
      <c r="A40" s="33"/>
      <c r="B40" s="48"/>
      <c r="C40" s="49"/>
      <c r="D40" s="50"/>
      <c r="E40" s="51"/>
      <c r="F40" s="52"/>
      <c r="G40" s="52"/>
      <c r="H40" s="52"/>
      <c r="I40" s="52"/>
      <c r="J40" s="52"/>
      <c r="K40" s="52"/>
      <c r="L40" s="52"/>
      <c r="M40" s="52"/>
      <c r="N40" s="52"/>
      <c r="O40" s="52"/>
      <c r="P40" s="52"/>
      <c r="Q40" s="52"/>
      <c r="R40" s="52"/>
      <c r="S40" s="52"/>
      <c r="T40" s="108"/>
    </row>
    <row r="41" ht="13.5" customHeight="1" spans="1:20">
      <c r="A41" s="53" t="s">
        <v>245</v>
      </c>
      <c r="B41" s="54" t="s">
        <v>246</v>
      </c>
      <c r="C41" s="55"/>
      <c r="D41" s="56"/>
      <c r="E41" s="57"/>
      <c r="F41" s="32"/>
      <c r="G41" s="32"/>
      <c r="H41" s="32"/>
      <c r="I41" s="32"/>
      <c r="J41" s="32"/>
      <c r="K41" s="32"/>
      <c r="L41" s="32"/>
      <c r="M41" s="32"/>
      <c r="N41" s="32"/>
      <c r="O41" s="32"/>
      <c r="P41" s="32"/>
      <c r="Q41" s="32"/>
      <c r="R41" s="32"/>
      <c r="S41" s="32"/>
      <c r="T41" s="104"/>
    </row>
    <row r="42" ht="13.5" customHeight="1" spans="1:20">
      <c r="A42" s="58"/>
      <c r="B42" s="59"/>
      <c r="C42" s="60"/>
      <c r="D42" s="61" t="s">
        <v>247</v>
      </c>
      <c r="E42" s="62"/>
      <c r="F42" s="37"/>
      <c r="G42" s="37"/>
      <c r="H42" s="37"/>
      <c r="I42" s="37"/>
      <c r="J42" s="37"/>
      <c r="K42" s="37" t="s">
        <v>231</v>
      </c>
      <c r="L42" s="37" t="s">
        <v>231</v>
      </c>
      <c r="M42" s="37"/>
      <c r="N42" s="37"/>
      <c r="O42" s="37"/>
      <c r="P42" s="37"/>
      <c r="Q42" s="37"/>
      <c r="R42" s="37"/>
      <c r="S42" s="37"/>
      <c r="T42" s="105"/>
    </row>
    <row r="43" ht="13.5" customHeight="1" spans="1:20">
      <c r="A43" s="58"/>
      <c r="B43" s="59"/>
      <c r="C43" s="60"/>
      <c r="D43" s="61" t="s">
        <v>248</v>
      </c>
      <c r="E43" s="63"/>
      <c r="F43" s="37" t="s">
        <v>231</v>
      </c>
      <c r="G43" s="37" t="s">
        <v>231</v>
      </c>
      <c r="H43" s="37" t="s">
        <v>231</v>
      </c>
      <c r="I43" s="37" t="s">
        <v>231</v>
      </c>
      <c r="J43" s="37" t="s">
        <v>231</v>
      </c>
      <c r="K43" s="37"/>
      <c r="L43" s="37"/>
      <c r="M43" s="37"/>
      <c r="N43" s="37"/>
      <c r="O43" s="37"/>
      <c r="P43" s="37"/>
      <c r="Q43" s="37"/>
      <c r="R43" s="37"/>
      <c r="S43" s="37"/>
      <c r="T43" s="105"/>
    </row>
    <row r="44" ht="13.5" customHeight="1" spans="1:20">
      <c r="A44" s="58"/>
      <c r="B44" s="59" t="s">
        <v>249</v>
      </c>
      <c r="C44" s="60"/>
      <c r="D44" s="61"/>
      <c r="E44" s="63"/>
      <c r="F44" s="37"/>
      <c r="G44" s="37"/>
      <c r="H44" s="37"/>
      <c r="I44" s="37"/>
      <c r="J44" s="37"/>
      <c r="K44" s="37"/>
      <c r="L44" s="37"/>
      <c r="M44" s="37"/>
      <c r="N44" s="37"/>
      <c r="O44" s="37"/>
      <c r="P44" s="37"/>
      <c r="Q44" s="37"/>
      <c r="R44" s="37"/>
      <c r="S44" s="37"/>
      <c r="T44" s="105"/>
    </row>
    <row r="45" ht="13.5" customHeight="1" spans="1:20">
      <c r="A45" s="58"/>
      <c r="B45" s="59"/>
      <c r="C45" s="60"/>
      <c r="D45" s="61" t="s">
        <v>426</v>
      </c>
      <c r="E45" s="63"/>
      <c r="F45" s="37"/>
      <c r="G45" s="37"/>
      <c r="H45" s="37"/>
      <c r="I45" s="37"/>
      <c r="J45" s="37"/>
      <c r="K45" s="37"/>
      <c r="L45" s="37" t="s">
        <v>231</v>
      </c>
      <c r="M45" s="37"/>
      <c r="N45" s="37"/>
      <c r="O45" s="37"/>
      <c r="P45" s="37"/>
      <c r="Q45" s="37"/>
      <c r="R45" s="37"/>
      <c r="S45" s="37"/>
      <c r="T45" s="105"/>
    </row>
    <row r="46" ht="13.5" customHeight="1" spans="1:20">
      <c r="A46" s="58"/>
      <c r="B46" s="59" t="s">
        <v>250</v>
      </c>
      <c r="C46" s="60"/>
      <c r="D46" s="61"/>
      <c r="E46" s="63"/>
      <c r="F46" s="37"/>
      <c r="G46" s="37"/>
      <c r="H46" s="37"/>
      <c r="I46" s="37"/>
      <c r="J46" s="37"/>
      <c r="K46" s="37"/>
      <c r="L46" s="37"/>
      <c r="M46" s="37"/>
      <c r="N46" s="37"/>
      <c r="O46" s="37"/>
      <c r="P46" s="37"/>
      <c r="Q46" s="37"/>
      <c r="R46" s="37"/>
      <c r="S46" s="37"/>
      <c r="T46" s="105"/>
    </row>
    <row r="47" ht="13.5" customHeight="1" spans="1:20">
      <c r="A47" s="58"/>
      <c r="B47" s="64"/>
      <c r="C47" s="65"/>
      <c r="D47" s="66" t="s">
        <v>427</v>
      </c>
      <c r="E47" s="63"/>
      <c r="F47" s="37"/>
      <c r="G47" s="37"/>
      <c r="H47" s="37"/>
      <c r="I47" s="37"/>
      <c r="J47" s="37"/>
      <c r="K47" s="37" t="s">
        <v>231</v>
      </c>
      <c r="L47" s="37"/>
      <c r="M47" s="37"/>
      <c r="N47" s="37"/>
      <c r="O47" s="37"/>
      <c r="P47" s="37"/>
      <c r="Q47" s="37"/>
      <c r="R47" s="37"/>
      <c r="S47" s="37"/>
      <c r="T47" s="105"/>
    </row>
    <row r="48" ht="13.5" customHeight="1" spans="1:20">
      <c r="A48" s="58"/>
      <c r="B48" s="67"/>
      <c r="C48" s="68"/>
      <c r="D48" s="69" t="s">
        <v>428</v>
      </c>
      <c r="E48" s="70"/>
      <c r="F48" s="46" t="s">
        <v>231</v>
      </c>
      <c r="G48" s="46"/>
      <c r="H48" s="46"/>
      <c r="I48" s="46"/>
      <c r="J48" s="46"/>
      <c r="K48" s="46"/>
      <c r="L48" s="46"/>
      <c r="M48" s="46"/>
      <c r="N48" s="46"/>
      <c r="O48" s="46"/>
      <c r="P48" s="46"/>
      <c r="Q48" s="46"/>
      <c r="R48" s="46"/>
      <c r="S48" s="46"/>
      <c r="T48" s="107"/>
    </row>
    <row r="49" ht="13.5" customHeight="1" spans="1:20">
      <c r="A49" s="58"/>
      <c r="B49" s="67"/>
      <c r="C49" s="68"/>
      <c r="D49" s="69" t="s">
        <v>429</v>
      </c>
      <c r="E49" s="70"/>
      <c r="F49" s="46"/>
      <c r="G49" s="46" t="s">
        <v>231</v>
      </c>
      <c r="H49" s="46" t="s">
        <v>231</v>
      </c>
      <c r="I49" s="46" t="s">
        <v>231</v>
      </c>
      <c r="J49" s="46" t="s">
        <v>231</v>
      </c>
      <c r="K49" s="46"/>
      <c r="L49" s="46"/>
      <c r="M49" s="46"/>
      <c r="N49" s="46"/>
      <c r="O49" s="46"/>
      <c r="P49" s="46"/>
      <c r="Q49" s="46"/>
      <c r="R49" s="46"/>
      <c r="S49" s="46"/>
      <c r="T49" s="107"/>
    </row>
    <row r="50" ht="13.5" customHeight="1" spans="1:20">
      <c r="A50" s="58"/>
      <c r="B50" s="67"/>
      <c r="C50" s="68"/>
      <c r="D50" s="69" t="s">
        <v>430</v>
      </c>
      <c r="E50" s="70"/>
      <c r="F50" s="46" t="s">
        <v>231</v>
      </c>
      <c r="G50" s="46" t="s">
        <v>231</v>
      </c>
      <c r="H50" s="46"/>
      <c r="I50" s="46" t="s">
        <v>231</v>
      </c>
      <c r="J50" s="46"/>
      <c r="K50" s="46"/>
      <c r="L50" s="46"/>
      <c r="M50" s="46"/>
      <c r="N50" s="46"/>
      <c r="O50" s="46"/>
      <c r="P50" s="46"/>
      <c r="Q50" s="46"/>
      <c r="R50" s="46"/>
      <c r="S50" s="46"/>
      <c r="T50" s="107"/>
    </row>
    <row r="51" ht="13.5" customHeight="1" spans="1:20">
      <c r="A51" s="58"/>
      <c r="B51" s="67"/>
      <c r="C51" s="71"/>
      <c r="D51" s="69"/>
      <c r="E51" s="72"/>
      <c r="F51" s="46"/>
      <c r="G51" s="46"/>
      <c r="H51" s="46"/>
      <c r="I51" s="46"/>
      <c r="J51" s="46"/>
      <c r="K51" s="46"/>
      <c r="L51" s="46"/>
      <c r="M51" s="46"/>
      <c r="N51" s="46"/>
      <c r="O51" s="46"/>
      <c r="P51" s="46"/>
      <c r="Q51" s="46"/>
      <c r="R51" s="46"/>
      <c r="S51" s="46"/>
      <c r="T51" s="107"/>
    </row>
    <row r="52" ht="13.5" customHeight="1" spans="1:20">
      <c r="A52" s="53" t="s">
        <v>255</v>
      </c>
      <c r="B52" s="73" t="s">
        <v>256</v>
      </c>
      <c r="C52" s="73"/>
      <c r="D52" s="73"/>
      <c r="E52" s="74"/>
      <c r="F52" s="75" t="s">
        <v>197</v>
      </c>
      <c r="G52" s="75" t="s">
        <v>197</v>
      </c>
      <c r="H52" s="75" t="s">
        <v>197</v>
      </c>
      <c r="I52" s="75" t="s">
        <v>197</v>
      </c>
      <c r="J52" s="75" t="s">
        <v>197</v>
      </c>
      <c r="K52" s="75" t="s">
        <v>197</v>
      </c>
      <c r="L52" s="75" t="s">
        <v>197</v>
      </c>
      <c r="M52" s="95"/>
      <c r="N52" s="95"/>
      <c r="O52" s="95"/>
      <c r="P52" s="95"/>
      <c r="Q52" s="95"/>
      <c r="R52" s="95"/>
      <c r="S52" s="95"/>
      <c r="T52" s="109"/>
    </row>
    <row r="53" ht="13.5" customHeight="1" spans="1:20">
      <c r="A53" s="58"/>
      <c r="B53" s="76" t="s">
        <v>257</v>
      </c>
      <c r="C53" s="76"/>
      <c r="D53" s="76"/>
      <c r="E53" s="77"/>
      <c r="F53" s="78" t="s">
        <v>258</v>
      </c>
      <c r="G53" s="78" t="s">
        <v>258</v>
      </c>
      <c r="H53" s="78" t="s">
        <v>258</v>
      </c>
      <c r="I53" s="78" t="s">
        <v>258</v>
      </c>
      <c r="J53" s="78" t="s">
        <v>258</v>
      </c>
      <c r="K53" s="78" t="s">
        <v>258</v>
      </c>
      <c r="L53" s="78" t="s">
        <v>258</v>
      </c>
      <c r="M53" s="96"/>
      <c r="N53" s="96"/>
      <c r="O53" s="96"/>
      <c r="P53" s="96"/>
      <c r="Q53" s="96"/>
      <c r="R53" s="96"/>
      <c r="S53" s="96"/>
      <c r="T53" s="110"/>
    </row>
    <row r="54" ht="13.5" customHeight="1" spans="1:20">
      <c r="A54" s="58"/>
      <c r="B54" s="79" t="s">
        <v>259</v>
      </c>
      <c r="C54" s="79"/>
      <c r="D54" s="79"/>
      <c r="E54" s="80"/>
      <c r="F54" s="81">
        <v>44165</v>
      </c>
      <c r="G54" s="81">
        <v>44165</v>
      </c>
      <c r="H54" s="81">
        <v>44165</v>
      </c>
      <c r="I54" s="81">
        <v>44165</v>
      </c>
      <c r="J54" s="81">
        <v>44165</v>
      </c>
      <c r="K54" s="81">
        <v>44165</v>
      </c>
      <c r="L54" s="81">
        <v>44165</v>
      </c>
      <c r="M54" s="97"/>
      <c r="N54" s="97"/>
      <c r="O54" s="97"/>
      <c r="P54" s="97"/>
      <c r="Q54" s="97"/>
      <c r="R54" s="97"/>
      <c r="S54" s="97"/>
      <c r="T54" s="111"/>
    </row>
    <row r="55" ht="13.95" spans="1:20">
      <c r="A55" s="82"/>
      <c r="B55" s="83" t="s">
        <v>260</v>
      </c>
      <c r="C55" s="83"/>
      <c r="D55" s="83"/>
      <c r="E55" s="84"/>
      <c r="F55" s="85"/>
      <c r="G55" s="85"/>
      <c r="H55" s="85"/>
      <c r="I55" s="85"/>
      <c r="J55" s="85"/>
      <c r="K55" s="85"/>
      <c r="L55" s="85"/>
      <c r="M55" s="85"/>
      <c r="N55" s="85"/>
      <c r="O55" s="85"/>
      <c r="P55" s="85"/>
      <c r="Q55" s="85"/>
      <c r="R55" s="85"/>
      <c r="S55" s="85"/>
      <c r="T55" s="112"/>
    </row>
    <row r="56" ht="13.95" spans="1:1">
      <c r="A56" s="86"/>
    </row>
  </sheetData>
  <mergeCells count="27">
    <mergeCell ref="A2:B2"/>
    <mergeCell ref="C2:E2"/>
    <mergeCell ref="F2:K2"/>
    <mergeCell ref="L2:T2"/>
    <mergeCell ref="A3:B3"/>
    <mergeCell ref="C3:E3"/>
    <mergeCell ref="F3:K3"/>
    <mergeCell ref="L3:T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52:D52"/>
    <mergeCell ref="B53:D53"/>
    <mergeCell ref="B54:D54"/>
    <mergeCell ref="B55:D55"/>
  </mergeCells>
  <dataValidations count="3">
    <dataValidation type="list" allowBlank="1" showErrorMessage="1" sqref="F52:T52">
      <formula1>"N,A,B,"</formula1>
    </dataValidation>
    <dataValidation type="list" allowBlank="1" showErrorMessage="1" sqref="F53:T53">
      <formula1>"P,F,"</formula1>
    </dataValidation>
    <dataValidation type="list" allowBlank="1" showErrorMessage="1" sqref="F10:T51">
      <formula1>"O,"</formula1>
    </dataValidation>
  </dataValidations>
  <pageMargins left="0.7" right="0.7" top="0.75" bottom="0.75" header="0.3" footer="0.3"/>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1"/>
  <sheetViews>
    <sheetView workbookViewId="0">
      <selection activeCell="A1" sqref="A1"/>
    </sheetView>
  </sheetViews>
  <sheetFormatPr defaultColWidth="8.87962962962963" defaultRowHeight="13.2"/>
  <cols>
    <col min="1" max="1" width="12.7685185185185" customWidth="1"/>
    <col min="2" max="2" width="18.7685185185185" customWidth="1"/>
    <col min="3" max="3" width="20.7685185185185" customWidth="1"/>
    <col min="4" max="4" width="34.7685185185185" customWidth="1"/>
    <col min="5" max="5" width="12.7685185185185" customWidth="1"/>
    <col min="6" max="6" width="10.7685185185185" customWidth="1"/>
    <col min="7" max="7" width="34.7685185185185" customWidth="1"/>
    <col min="8" max="8" width="43.6111111111111" customWidth="1"/>
    <col min="9" max="9" width="51.5462962962963" customWidth="1"/>
    <col min="10" max="10" width="54.2407407407407" customWidth="1"/>
    <col min="11" max="11" width="24.7685185185185" customWidth="1"/>
    <col min="12" max="13" width="12.7685185185185" customWidth="1"/>
    <col min="14" max="14" width="28.7685185185185" customWidth="1"/>
  </cols>
  <sheetData>
    <row r="1" ht="13.8" spans="1:14">
      <c r="A1" s="1" t="s">
        <v>431</v>
      </c>
      <c r="B1" s="1" t="s">
        <v>432</v>
      </c>
      <c r="C1" s="1" t="s">
        <v>433</v>
      </c>
      <c r="D1" s="1" t="s">
        <v>434</v>
      </c>
      <c r="E1" s="1" t="s">
        <v>435</v>
      </c>
      <c r="F1" s="1" t="s">
        <v>436</v>
      </c>
      <c r="G1" s="1" t="s">
        <v>437</v>
      </c>
      <c r="H1" s="2" t="s">
        <v>438</v>
      </c>
      <c r="I1" s="2" t="s">
        <v>439</v>
      </c>
      <c r="J1" s="2" t="s">
        <v>440</v>
      </c>
      <c r="K1" s="1" t="s">
        <v>441</v>
      </c>
      <c r="L1" s="1" t="s">
        <v>442</v>
      </c>
      <c r="M1" s="1" t="s">
        <v>443</v>
      </c>
      <c r="N1" s="1" t="s">
        <v>444</v>
      </c>
    </row>
    <row r="2" ht="27.6" spans="1:14">
      <c r="A2" s="3" t="s">
        <v>445</v>
      </c>
      <c r="B2" s="3" t="s">
        <v>446</v>
      </c>
      <c r="C2" s="3" t="s">
        <v>447</v>
      </c>
      <c r="D2" s="3" t="s">
        <v>448</v>
      </c>
      <c r="E2" s="3" t="s">
        <v>449</v>
      </c>
      <c r="F2" s="3" t="s">
        <v>450</v>
      </c>
      <c r="G2" s="3" t="s">
        <v>451</v>
      </c>
      <c r="H2" s="3" t="s">
        <v>452</v>
      </c>
      <c r="I2" s="3" t="s">
        <v>453</v>
      </c>
      <c r="J2" s="3" t="s">
        <v>454</v>
      </c>
      <c r="K2" s="3" t="s">
        <v>455</v>
      </c>
      <c r="L2" s="3" t="s">
        <v>456</v>
      </c>
      <c r="M2" s="3" t="s">
        <v>457</v>
      </c>
      <c r="N2" s="3"/>
    </row>
    <row r="3" ht="27.6" spans="1:14">
      <c r="A3" s="3" t="s">
        <v>458</v>
      </c>
      <c r="B3" s="3" t="s">
        <v>446</v>
      </c>
      <c r="C3" s="3" t="s">
        <v>447</v>
      </c>
      <c r="D3" s="3" t="s">
        <v>459</v>
      </c>
      <c r="E3" s="3" t="s">
        <v>449</v>
      </c>
      <c r="F3" s="3" t="s">
        <v>450</v>
      </c>
      <c r="G3" s="3" t="s">
        <v>460</v>
      </c>
      <c r="H3" s="3" t="s">
        <v>452</v>
      </c>
      <c r="I3" s="3" t="s">
        <v>461</v>
      </c>
      <c r="J3" s="3" t="s">
        <v>462</v>
      </c>
      <c r="K3" s="3" t="s">
        <v>455</v>
      </c>
      <c r="L3" s="3" t="s">
        <v>456</v>
      </c>
      <c r="M3" s="3" t="s">
        <v>457</v>
      </c>
      <c r="N3" s="3"/>
    </row>
    <row r="4" ht="27.6" spans="1:14">
      <c r="A4" s="3" t="s">
        <v>463</v>
      </c>
      <c r="B4" s="3" t="s">
        <v>446</v>
      </c>
      <c r="C4" s="3" t="s">
        <v>447</v>
      </c>
      <c r="D4" s="3" t="s">
        <v>464</v>
      </c>
      <c r="E4" s="3" t="s">
        <v>449</v>
      </c>
      <c r="F4" s="3" t="s">
        <v>450</v>
      </c>
      <c r="G4" s="3" t="s">
        <v>460</v>
      </c>
      <c r="H4" s="3" t="s">
        <v>465</v>
      </c>
      <c r="I4" s="3" t="s">
        <v>461</v>
      </c>
      <c r="J4" s="3" t="s">
        <v>466</v>
      </c>
      <c r="K4" s="3" t="s">
        <v>455</v>
      </c>
      <c r="L4" s="3" t="s">
        <v>456</v>
      </c>
      <c r="M4" s="3" t="s">
        <v>457</v>
      </c>
      <c r="N4" s="3" t="s">
        <v>467</v>
      </c>
    </row>
    <row r="5" ht="13.8" spans="1:14">
      <c r="A5" s="3" t="s">
        <v>468</v>
      </c>
      <c r="B5" s="3" t="s">
        <v>446</v>
      </c>
      <c r="C5" s="3" t="s">
        <v>447</v>
      </c>
      <c r="D5" s="3" t="s">
        <v>469</v>
      </c>
      <c r="E5" s="3" t="s">
        <v>470</v>
      </c>
      <c r="F5" s="3" t="s">
        <v>450</v>
      </c>
      <c r="G5" s="3" t="s">
        <v>460</v>
      </c>
      <c r="H5" s="3" t="s">
        <v>471</v>
      </c>
      <c r="I5" s="3" t="s">
        <v>472</v>
      </c>
      <c r="J5" s="3" t="s">
        <v>473</v>
      </c>
      <c r="K5" s="3" t="s">
        <v>455</v>
      </c>
      <c r="L5" s="3" t="s">
        <v>456</v>
      </c>
      <c r="M5" s="3" t="s">
        <v>457</v>
      </c>
      <c r="N5" s="3"/>
    </row>
    <row r="6" ht="13.8" spans="1:14">
      <c r="A6" s="3" t="s">
        <v>474</v>
      </c>
      <c r="B6" s="3" t="s">
        <v>446</v>
      </c>
      <c r="C6" s="3" t="s">
        <v>447</v>
      </c>
      <c r="D6" s="3" t="s">
        <v>475</v>
      </c>
      <c r="E6" s="3" t="s">
        <v>470</v>
      </c>
      <c r="F6" s="3" t="s">
        <v>476</v>
      </c>
      <c r="G6" s="3" t="s">
        <v>477</v>
      </c>
      <c r="H6" s="3" t="s">
        <v>478</v>
      </c>
      <c r="I6" s="3" t="s">
        <v>479</v>
      </c>
      <c r="J6" s="3" t="s">
        <v>480</v>
      </c>
      <c r="K6" s="3" t="s">
        <v>455</v>
      </c>
      <c r="L6" s="3" t="s">
        <v>456</v>
      </c>
      <c r="M6" s="3" t="s">
        <v>457</v>
      </c>
      <c r="N6" s="3"/>
    </row>
    <row r="7" ht="13.8" spans="1:14">
      <c r="A7" s="3" t="s">
        <v>481</v>
      </c>
      <c r="B7" s="3" t="s">
        <v>446</v>
      </c>
      <c r="C7" s="3" t="s">
        <v>447</v>
      </c>
      <c r="D7" s="3" t="s">
        <v>482</v>
      </c>
      <c r="E7" s="3" t="s">
        <v>483</v>
      </c>
      <c r="F7" s="3" t="s">
        <v>476</v>
      </c>
      <c r="G7" s="3" t="s">
        <v>484</v>
      </c>
      <c r="H7" s="3" t="s">
        <v>485</v>
      </c>
      <c r="I7" s="3" t="s">
        <v>486</v>
      </c>
      <c r="J7" s="3" t="s">
        <v>487</v>
      </c>
      <c r="K7" s="3" t="s">
        <v>455</v>
      </c>
      <c r="L7" s="3" t="s">
        <v>456</v>
      </c>
      <c r="M7" s="3" t="s">
        <v>457</v>
      </c>
      <c r="N7" s="3"/>
    </row>
    <row r="8" ht="13.8" spans="1:14">
      <c r="A8" s="3" t="s">
        <v>488</v>
      </c>
      <c r="B8" s="3" t="s">
        <v>446</v>
      </c>
      <c r="C8" s="3" t="s">
        <v>447</v>
      </c>
      <c r="D8" s="3" t="s">
        <v>489</v>
      </c>
      <c r="E8" s="3" t="s">
        <v>483</v>
      </c>
      <c r="F8" s="3" t="s">
        <v>476</v>
      </c>
      <c r="G8" s="3" t="s">
        <v>484</v>
      </c>
      <c r="H8" s="3" t="s">
        <v>490</v>
      </c>
      <c r="I8" s="3" t="s">
        <v>491</v>
      </c>
      <c r="J8" s="3" t="s">
        <v>492</v>
      </c>
      <c r="K8" s="3" t="s">
        <v>455</v>
      </c>
      <c r="L8" s="3" t="s">
        <v>456</v>
      </c>
      <c r="M8" s="3" t="s">
        <v>457</v>
      </c>
      <c r="N8" s="3"/>
    </row>
    <row r="9" ht="13.8" spans="1:14">
      <c r="A9" s="3" t="s">
        <v>493</v>
      </c>
      <c r="B9" s="3" t="s">
        <v>446</v>
      </c>
      <c r="C9" s="3" t="s">
        <v>494</v>
      </c>
      <c r="D9" s="3" t="s">
        <v>495</v>
      </c>
      <c r="E9" s="3" t="s">
        <v>449</v>
      </c>
      <c r="F9" s="3" t="s">
        <v>476</v>
      </c>
      <c r="G9" s="3" t="s">
        <v>496</v>
      </c>
      <c r="H9" s="3" t="s">
        <v>497</v>
      </c>
      <c r="I9" s="3" t="s">
        <v>498</v>
      </c>
      <c r="J9" s="3" t="s">
        <v>499</v>
      </c>
      <c r="K9" s="3" t="s">
        <v>455</v>
      </c>
      <c r="L9" s="3" t="s">
        <v>456</v>
      </c>
      <c r="M9" s="3" t="s">
        <v>457</v>
      </c>
      <c r="N9" s="3"/>
    </row>
    <row r="10" ht="13.8" spans="1:14">
      <c r="A10" s="3" t="s">
        <v>500</v>
      </c>
      <c r="B10" s="3" t="s">
        <v>501</v>
      </c>
      <c r="C10" s="3" t="s">
        <v>502</v>
      </c>
      <c r="D10" s="3" t="s">
        <v>503</v>
      </c>
      <c r="E10" s="3" t="s">
        <v>449</v>
      </c>
      <c r="F10" s="3" t="s">
        <v>450</v>
      </c>
      <c r="G10" s="3" t="s">
        <v>504</v>
      </c>
      <c r="H10" s="3" t="s">
        <v>267</v>
      </c>
      <c r="I10" s="3" t="s">
        <v>505</v>
      </c>
      <c r="J10" s="3" t="s">
        <v>506</v>
      </c>
      <c r="K10" s="3" t="s">
        <v>455</v>
      </c>
      <c r="L10" s="3" t="s">
        <v>456</v>
      </c>
      <c r="M10" s="3" t="s">
        <v>457</v>
      </c>
      <c r="N10" s="3"/>
    </row>
    <row r="11" ht="13.8" spans="1:14">
      <c r="A11" s="3" t="s">
        <v>507</v>
      </c>
      <c r="B11" s="3" t="s">
        <v>501</v>
      </c>
      <c r="C11" s="3" t="s">
        <v>502</v>
      </c>
      <c r="D11" s="3" t="s">
        <v>508</v>
      </c>
      <c r="E11" s="3" t="s">
        <v>470</v>
      </c>
      <c r="F11" s="3" t="s">
        <v>476</v>
      </c>
      <c r="G11" s="3" t="s">
        <v>509</v>
      </c>
      <c r="H11" s="3" t="s">
        <v>232</v>
      </c>
      <c r="I11" s="3" t="s">
        <v>510</v>
      </c>
      <c r="J11" s="3" t="s">
        <v>511</v>
      </c>
      <c r="K11" s="3" t="s">
        <v>455</v>
      </c>
      <c r="L11" s="3" t="s">
        <v>456</v>
      </c>
      <c r="M11" s="3" t="s">
        <v>457</v>
      </c>
      <c r="N11" s="3"/>
    </row>
    <row r="12" ht="13.8" spans="1:14">
      <c r="A12" s="3" t="s">
        <v>512</v>
      </c>
      <c r="B12" s="3" t="s">
        <v>501</v>
      </c>
      <c r="C12" s="3" t="s">
        <v>513</v>
      </c>
      <c r="D12" s="3" t="s">
        <v>514</v>
      </c>
      <c r="E12" s="3" t="s">
        <v>470</v>
      </c>
      <c r="F12" s="3" t="s">
        <v>476</v>
      </c>
      <c r="G12" s="3" t="s">
        <v>515</v>
      </c>
      <c r="H12" s="3" t="s">
        <v>516</v>
      </c>
      <c r="I12" s="3" t="s">
        <v>517</v>
      </c>
      <c r="J12" s="3" t="s">
        <v>518</v>
      </c>
      <c r="K12" s="3" t="s">
        <v>455</v>
      </c>
      <c r="L12" s="3" t="s">
        <v>456</v>
      </c>
      <c r="M12" s="3" t="s">
        <v>457</v>
      </c>
      <c r="N12" s="3"/>
    </row>
    <row r="13" ht="27.6" spans="1:14">
      <c r="A13" s="3" t="s">
        <v>519</v>
      </c>
      <c r="B13" s="3" t="s">
        <v>501</v>
      </c>
      <c r="C13" s="3" t="s">
        <v>513</v>
      </c>
      <c r="D13" s="3" t="s">
        <v>520</v>
      </c>
      <c r="E13" s="3" t="s">
        <v>449</v>
      </c>
      <c r="F13" s="3" t="s">
        <v>450</v>
      </c>
      <c r="G13" s="3" t="s">
        <v>521</v>
      </c>
      <c r="H13" s="3" t="s">
        <v>522</v>
      </c>
      <c r="I13" s="3" t="s">
        <v>523</v>
      </c>
      <c r="J13" s="3" t="s">
        <v>524</v>
      </c>
      <c r="K13" s="3" t="s">
        <v>455</v>
      </c>
      <c r="L13" s="3" t="s">
        <v>456</v>
      </c>
      <c r="M13" s="3" t="s">
        <v>457</v>
      </c>
      <c r="N13" s="3"/>
    </row>
    <row r="14" ht="13.8" spans="1:14">
      <c r="A14" s="3" t="s">
        <v>525</v>
      </c>
      <c r="B14" s="3" t="s">
        <v>526</v>
      </c>
      <c r="C14" s="3" t="s">
        <v>527</v>
      </c>
      <c r="D14" s="3" t="s">
        <v>528</v>
      </c>
      <c r="E14" s="3" t="s">
        <v>449</v>
      </c>
      <c r="F14" s="3" t="s">
        <v>450</v>
      </c>
      <c r="G14" s="3" t="s">
        <v>529</v>
      </c>
      <c r="H14" s="3" t="s">
        <v>239</v>
      </c>
      <c r="I14" s="3" t="s">
        <v>530</v>
      </c>
      <c r="J14" s="3" t="s">
        <v>531</v>
      </c>
      <c r="K14" s="3" t="s">
        <v>455</v>
      </c>
      <c r="L14" s="3" t="s">
        <v>456</v>
      </c>
      <c r="M14" s="3" t="s">
        <v>457</v>
      </c>
      <c r="N14" s="3"/>
    </row>
    <row r="15" ht="13.8" spans="1:14">
      <c r="A15" s="3" t="s">
        <v>532</v>
      </c>
      <c r="B15" s="3" t="s">
        <v>526</v>
      </c>
      <c r="C15" s="3" t="s">
        <v>527</v>
      </c>
      <c r="D15" s="3" t="s">
        <v>475</v>
      </c>
      <c r="E15" s="3" t="s">
        <v>470</v>
      </c>
      <c r="F15" s="3" t="s">
        <v>476</v>
      </c>
      <c r="G15" s="3" t="s">
        <v>533</v>
      </c>
      <c r="H15" s="3" t="s">
        <v>534</v>
      </c>
      <c r="I15" s="3" t="s">
        <v>535</v>
      </c>
      <c r="J15" s="3" t="s">
        <v>536</v>
      </c>
      <c r="K15" s="3" t="s">
        <v>455</v>
      </c>
      <c r="L15" s="3" t="s">
        <v>456</v>
      </c>
      <c r="M15" s="3" t="s">
        <v>457</v>
      </c>
      <c r="N15" s="3"/>
    </row>
    <row r="16" ht="13.8" spans="1:14">
      <c r="A16" s="3" t="s">
        <v>537</v>
      </c>
      <c r="B16" s="3" t="s">
        <v>526</v>
      </c>
      <c r="C16" s="3" t="s">
        <v>538</v>
      </c>
      <c r="D16" s="3" t="s">
        <v>539</v>
      </c>
      <c r="E16" s="3" t="s">
        <v>470</v>
      </c>
      <c r="F16" s="3" t="s">
        <v>476</v>
      </c>
      <c r="G16" s="3" t="s">
        <v>515</v>
      </c>
      <c r="H16" s="3" t="s">
        <v>540</v>
      </c>
      <c r="I16" s="3" t="s">
        <v>517</v>
      </c>
      <c r="J16" s="3" t="s">
        <v>541</v>
      </c>
      <c r="K16" s="3" t="s">
        <v>455</v>
      </c>
      <c r="L16" s="3" t="s">
        <v>456</v>
      </c>
      <c r="M16" s="3" t="s">
        <v>457</v>
      </c>
      <c r="N16" s="3"/>
    </row>
    <row r="17" ht="27.6" spans="1:14">
      <c r="A17" s="3" t="s">
        <v>542</v>
      </c>
      <c r="B17" s="3" t="s">
        <v>526</v>
      </c>
      <c r="C17" s="3" t="s">
        <v>543</v>
      </c>
      <c r="D17" s="3" t="s">
        <v>544</v>
      </c>
      <c r="E17" s="3" t="s">
        <v>470</v>
      </c>
      <c r="F17" s="3" t="s">
        <v>476</v>
      </c>
      <c r="G17" s="3" t="s">
        <v>496</v>
      </c>
      <c r="H17" s="3" t="s">
        <v>545</v>
      </c>
      <c r="I17" s="3" t="s">
        <v>546</v>
      </c>
      <c r="J17" s="3" t="s">
        <v>547</v>
      </c>
      <c r="K17" s="3" t="s">
        <v>455</v>
      </c>
      <c r="L17" s="3" t="s">
        <v>456</v>
      </c>
      <c r="M17" s="3" t="s">
        <v>457</v>
      </c>
      <c r="N17" s="3"/>
    </row>
    <row r="18" ht="13.8" spans="1:14">
      <c r="A18" s="3" t="s">
        <v>548</v>
      </c>
      <c r="B18" s="3" t="s">
        <v>549</v>
      </c>
      <c r="C18" s="3" t="s">
        <v>550</v>
      </c>
      <c r="D18" s="3" t="s">
        <v>551</v>
      </c>
      <c r="E18" s="3" t="s">
        <v>449</v>
      </c>
      <c r="F18" s="3" t="s">
        <v>476</v>
      </c>
      <c r="G18" s="3" t="s">
        <v>496</v>
      </c>
      <c r="H18" s="3" t="s">
        <v>497</v>
      </c>
      <c r="I18" s="3" t="s">
        <v>552</v>
      </c>
      <c r="J18" s="3" t="s">
        <v>553</v>
      </c>
      <c r="K18" s="3" t="s">
        <v>455</v>
      </c>
      <c r="L18" s="3" t="s">
        <v>456</v>
      </c>
      <c r="M18" s="3" t="s">
        <v>457</v>
      </c>
      <c r="N18" s="3"/>
    </row>
    <row r="19" ht="13.8" spans="1:14">
      <c r="A19" s="3" t="s">
        <v>554</v>
      </c>
      <c r="B19" s="3" t="s">
        <v>549</v>
      </c>
      <c r="C19" s="3" t="s">
        <v>555</v>
      </c>
      <c r="D19" s="3" t="s">
        <v>556</v>
      </c>
      <c r="E19" s="3" t="s">
        <v>449</v>
      </c>
      <c r="F19" s="3" t="s">
        <v>476</v>
      </c>
      <c r="G19" s="3" t="s">
        <v>496</v>
      </c>
      <c r="H19" s="3" t="s">
        <v>557</v>
      </c>
      <c r="I19" s="3" t="s">
        <v>558</v>
      </c>
      <c r="J19" s="3" t="s">
        <v>559</v>
      </c>
      <c r="K19" s="3" t="s">
        <v>455</v>
      </c>
      <c r="L19" s="3" t="s">
        <v>456</v>
      </c>
      <c r="M19" s="3" t="s">
        <v>457</v>
      </c>
      <c r="N19" s="3"/>
    </row>
    <row r="20" ht="13.8" spans="1:14">
      <c r="A20" s="3" t="s">
        <v>560</v>
      </c>
      <c r="B20" s="3" t="s">
        <v>549</v>
      </c>
      <c r="C20" s="3" t="s">
        <v>555</v>
      </c>
      <c r="D20" s="3" t="s">
        <v>561</v>
      </c>
      <c r="E20" s="3" t="s">
        <v>470</v>
      </c>
      <c r="F20" s="3" t="s">
        <v>476</v>
      </c>
      <c r="G20" s="3" t="s">
        <v>496</v>
      </c>
      <c r="H20" s="3" t="s">
        <v>562</v>
      </c>
      <c r="I20" s="3" t="s">
        <v>563</v>
      </c>
      <c r="J20" s="3" t="s">
        <v>564</v>
      </c>
      <c r="K20" s="3" t="s">
        <v>455</v>
      </c>
      <c r="L20" s="3" t="s">
        <v>456</v>
      </c>
      <c r="M20" s="3" t="s">
        <v>457</v>
      </c>
      <c r="N20" s="3"/>
    </row>
    <row r="21" ht="13.8" spans="1:14">
      <c r="A21" s="3" t="s">
        <v>565</v>
      </c>
      <c r="B21" s="3" t="s">
        <v>549</v>
      </c>
      <c r="C21" s="3" t="s">
        <v>566</v>
      </c>
      <c r="D21" s="3" t="s">
        <v>567</v>
      </c>
      <c r="E21" s="3" t="s">
        <v>449</v>
      </c>
      <c r="F21" s="3" t="s">
        <v>568</v>
      </c>
      <c r="G21" s="3" t="s">
        <v>496</v>
      </c>
      <c r="H21" s="3" t="s">
        <v>569</v>
      </c>
      <c r="I21" s="3" t="s">
        <v>570</v>
      </c>
      <c r="J21" s="3" t="s">
        <v>571</v>
      </c>
      <c r="K21" s="3" t="s">
        <v>455</v>
      </c>
      <c r="L21" s="3" t="s">
        <v>456</v>
      </c>
      <c r="M21" s="3" t="s">
        <v>457</v>
      </c>
      <c r="N21" s="3"/>
    </row>
    <row r="22" ht="13.8" spans="1:14">
      <c r="A22" s="3" t="s">
        <v>572</v>
      </c>
      <c r="B22" s="3" t="s">
        <v>149</v>
      </c>
      <c r="C22" s="3" t="s">
        <v>573</v>
      </c>
      <c r="D22" s="3" t="s">
        <v>574</v>
      </c>
      <c r="E22" s="3" t="s">
        <v>449</v>
      </c>
      <c r="F22" s="3" t="s">
        <v>450</v>
      </c>
      <c r="G22" s="3" t="s">
        <v>496</v>
      </c>
      <c r="H22" s="3" t="s">
        <v>239</v>
      </c>
      <c r="I22" s="3" t="s">
        <v>575</v>
      </c>
      <c r="J22" s="3" t="s">
        <v>576</v>
      </c>
      <c r="K22" s="3" t="s">
        <v>455</v>
      </c>
      <c r="L22" s="3" t="s">
        <v>456</v>
      </c>
      <c r="M22" s="3" t="s">
        <v>457</v>
      </c>
      <c r="N22" s="3"/>
    </row>
    <row r="23" ht="13.8" spans="1:14">
      <c r="A23" s="3" t="s">
        <v>577</v>
      </c>
      <c r="B23" s="3" t="s">
        <v>149</v>
      </c>
      <c r="C23" s="3" t="s">
        <v>573</v>
      </c>
      <c r="D23" s="3" t="s">
        <v>578</v>
      </c>
      <c r="E23" s="3" t="s">
        <v>470</v>
      </c>
      <c r="F23" s="3" t="s">
        <v>568</v>
      </c>
      <c r="G23" s="3" t="s">
        <v>496</v>
      </c>
      <c r="H23" s="3" t="s">
        <v>579</v>
      </c>
      <c r="I23" s="3" t="s">
        <v>580</v>
      </c>
      <c r="J23" s="3" t="s">
        <v>581</v>
      </c>
      <c r="K23" s="3" t="s">
        <v>455</v>
      </c>
      <c r="L23" s="3" t="s">
        <v>456</v>
      </c>
      <c r="M23" s="3" t="s">
        <v>457</v>
      </c>
      <c r="N23" s="3"/>
    </row>
    <row r="24" ht="13.8" spans="1:14">
      <c r="A24" s="3" t="s">
        <v>582</v>
      </c>
      <c r="B24" s="3" t="s">
        <v>149</v>
      </c>
      <c r="C24" s="3" t="s">
        <v>583</v>
      </c>
      <c r="D24" s="3" t="s">
        <v>584</v>
      </c>
      <c r="E24" s="3" t="s">
        <v>449</v>
      </c>
      <c r="F24" s="3" t="s">
        <v>450</v>
      </c>
      <c r="G24" s="3" t="s">
        <v>585</v>
      </c>
      <c r="H24" s="3" t="s">
        <v>586</v>
      </c>
      <c r="I24" s="3" t="s">
        <v>587</v>
      </c>
      <c r="J24" s="3" t="s">
        <v>588</v>
      </c>
      <c r="K24" s="3" t="s">
        <v>455</v>
      </c>
      <c r="L24" s="3" t="s">
        <v>589</v>
      </c>
      <c r="M24" s="3" t="s">
        <v>457</v>
      </c>
      <c r="N24" s="3" t="s">
        <v>590</v>
      </c>
    </row>
    <row r="25" ht="13.8" spans="1:14">
      <c r="A25" s="3" t="s">
        <v>591</v>
      </c>
      <c r="B25" s="3" t="s">
        <v>149</v>
      </c>
      <c r="C25" s="3" t="s">
        <v>592</v>
      </c>
      <c r="D25" s="3" t="s">
        <v>593</v>
      </c>
      <c r="E25" s="3" t="s">
        <v>449</v>
      </c>
      <c r="F25" s="3" t="s">
        <v>450</v>
      </c>
      <c r="G25" s="3" t="s">
        <v>594</v>
      </c>
      <c r="H25" s="3" t="s">
        <v>595</v>
      </c>
      <c r="I25" s="3" t="s">
        <v>596</v>
      </c>
      <c r="J25" s="3" t="s">
        <v>597</v>
      </c>
      <c r="K25" s="3" t="s">
        <v>455</v>
      </c>
      <c r="L25" s="3" t="s">
        <v>589</v>
      </c>
      <c r="M25" s="3" t="s">
        <v>457</v>
      </c>
      <c r="N25" s="3" t="s">
        <v>598</v>
      </c>
    </row>
    <row r="26" ht="13.8" spans="1:14">
      <c r="A26" s="3" t="s">
        <v>599</v>
      </c>
      <c r="B26" s="3" t="s">
        <v>149</v>
      </c>
      <c r="C26" s="3" t="s">
        <v>600</v>
      </c>
      <c r="D26" s="3" t="s">
        <v>601</v>
      </c>
      <c r="E26" s="3" t="s">
        <v>470</v>
      </c>
      <c r="F26" s="3" t="s">
        <v>476</v>
      </c>
      <c r="G26" s="3" t="s">
        <v>594</v>
      </c>
      <c r="H26" s="3" t="s">
        <v>595</v>
      </c>
      <c r="I26" s="3" t="s">
        <v>602</v>
      </c>
      <c r="J26" s="3" t="s">
        <v>603</v>
      </c>
      <c r="K26" s="3" t="s">
        <v>455</v>
      </c>
      <c r="L26" s="3" t="s">
        <v>456</v>
      </c>
      <c r="M26" s="3" t="s">
        <v>457</v>
      </c>
      <c r="N26" s="3"/>
    </row>
    <row r="27" ht="13.8" spans="1:14">
      <c r="A27" s="3" t="s">
        <v>604</v>
      </c>
      <c r="B27" s="3" t="s">
        <v>149</v>
      </c>
      <c r="C27" s="3" t="s">
        <v>605</v>
      </c>
      <c r="D27" s="3" t="s">
        <v>606</v>
      </c>
      <c r="E27" s="3" t="s">
        <v>449</v>
      </c>
      <c r="F27" s="3" t="s">
        <v>450</v>
      </c>
      <c r="G27" s="3" t="s">
        <v>607</v>
      </c>
      <c r="H27" s="3" t="s">
        <v>595</v>
      </c>
      <c r="I27" s="3" t="s">
        <v>608</v>
      </c>
      <c r="J27" s="3" t="s">
        <v>609</v>
      </c>
      <c r="K27" s="3" t="s">
        <v>455</v>
      </c>
      <c r="L27" s="3" t="s">
        <v>589</v>
      </c>
      <c r="M27" s="3" t="s">
        <v>457</v>
      </c>
      <c r="N27" s="3" t="s">
        <v>610</v>
      </c>
    </row>
    <row r="28" ht="13.8" spans="1:14">
      <c r="A28" s="3" t="s">
        <v>611</v>
      </c>
      <c r="B28" s="3" t="s">
        <v>156</v>
      </c>
      <c r="C28" s="3" t="s">
        <v>612</v>
      </c>
      <c r="D28" s="3" t="s">
        <v>613</v>
      </c>
      <c r="E28" s="3" t="s">
        <v>449</v>
      </c>
      <c r="F28" s="3" t="s">
        <v>450</v>
      </c>
      <c r="G28" s="3" t="s">
        <v>614</v>
      </c>
      <c r="H28" s="3" t="s">
        <v>615</v>
      </c>
      <c r="I28" s="3" t="s">
        <v>616</v>
      </c>
      <c r="J28" s="3" t="s">
        <v>617</v>
      </c>
      <c r="K28" s="3" t="s">
        <v>455</v>
      </c>
      <c r="L28" s="3" t="s">
        <v>456</v>
      </c>
      <c r="M28" s="3" t="s">
        <v>457</v>
      </c>
      <c r="N28" s="3"/>
    </row>
    <row r="29" ht="13.8" spans="1:14">
      <c r="A29" s="3" t="s">
        <v>618</v>
      </c>
      <c r="B29" s="3" t="s">
        <v>156</v>
      </c>
      <c r="C29" s="3" t="s">
        <v>619</v>
      </c>
      <c r="D29" s="3" t="s">
        <v>620</v>
      </c>
      <c r="E29" s="3" t="s">
        <v>449</v>
      </c>
      <c r="F29" s="3" t="s">
        <v>450</v>
      </c>
      <c r="G29" s="3" t="s">
        <v>621</v>
      </c>
      <c r="H29" s="3" t="s">
        <v>622</v>
      </c>
      <c r="I29" s="3" t="s">
        <v>623</v>
      </c>
      <c r="J29" s="3" t="s">
        <v>624</v>
      </c>
      <c r="K29" s="3" t="s">
        <v>455</v>
      </c>
      <c r="L29" s="3" t="s">
        <v>589</v>
      </c>
      <c r="M29" s="3" t="s">
        <v>457</v>
      </c>
      <c r="N29" s="3" t="s">
        <v>625</v>
      </c>
    </row>
    <row r="30" ht="27.6" spans="1:14">
      <c r="A30" s="3" t="s">
        <v>626</v>
      </c>
      <c r="B30" s="3" t="s">
        <v>156</v>
      </c>
      <c r="C30" s="3" t="s">
        <v>627</v>
      </c>
      <c r="D30" s="3" t="s">
        <v>628</v>
      </c>
      <c r="E30" s="3" t="s">
        <v>449</v>
      </c>
      <c r="F30" s="3" t="s">
        <v>476</v>
      </c>
      <c r="G30" s="3" t="s">
        <v>629</v>
      </c>
      <c r="H30" s="3" t="s">
        <v>630</v>
      </c>
      <c r="I30" s="3" t="s">
        <v>631</v>
      </c>
      <c r="J30" s="3" t="s">
        <v>632</v>
      </c>
      <c r="K30" s="3" t="s">
        <v>455</v>
      </c>
      <c r="L30" s="3" t="s">
        <v>589</v>
      </c>
      <c r="M30" s="3" t="s">
        <v>457</v>
      </c>
      <c r="N30" s="3"/>
    </row>
    <row r="31" ht="13.8" spans="1:14">
      <c r="A31" s="3" t="s">
        <v>633</v>
      </c>
      <c r="B31" s="3" t="s">
        <v>156</v>
      </c>
      <c r="C31" s="3" t="s">
        <v>634</v>
      </c>
      <c r="D31" s="3" t="s">
        <v>635</v>
      </c>
      <c r="E31" s="3" t="s">
        <v>449</v>
      </c>
      <c r="F31" s="3" t="s">
        <v>476</v>
      </c>
      <c r="G31" s="3" t="s">
        <v>636</v>
      </c>
      <c r="H31" s="3" t="s">
        <v>637</v>
      </c>
      <c r="I31" s="3" t="s">
        <v>638</v>
      </c>
      <c r="J31" s="3" t="s">
        <v>639</v>
      </c>
      <c r="K31" s="3" t="s">
        <v>455</v>
      </c>
      <c r="L31" s="3" t="s">
        <v>456</v>
      </c>
      <c r="M31" s="3" t="s">
        <v>457</v>
      </c>
      <c r="N31" s="3"/>
    </row>
    <row r="32" ht="13.8" spans="1:14">
      <c r="A32" s="3" t="s">
        <v>640</v>
      </c>
      <c r="B32" s="3" t="s">
        <v>156</v>
      </c>
      <c r="C32" s="3" t="s">
        <v>641</v>
      </c>
      <c r="D32" s="3" t="s">
        <v>642</v>
      </c>
      <c r="E32" s="3" t="s">
        <v>449</v>
      </c>
      <c r="F32" s="3" t="s">
        <v>476</v>
      </c>
      <c r="G32" s="3" t="s">
        <v>643</v>
      </c>
      <c r="H32" s="3" t="s">
        <v>637</v>
      </c>
      <c r="I32" s="3" t="s">
        <v>644</v>
      </c>
      <c r="J32" s="3" t="s">
        <v>645</v>
      </c>
      <c r="K32" s="3" t="s">
        <v>455</v>
      </c>
      <c r="L32" s="3" t="s">
        <v>589</v>
      </c>
      <c r="M32" s="3" t="s">
        <v>457</v>
      </c>
      <c r="N32" s="3"/>
    </row>
    <row r="33" ht="13.8" spans="1:14">
      <c r="A33" s="3" t="s">
        <v>646</v>
      </c>
      <c r="B33" s="3" t="s">
        <v>156</v>
      </c>
      <c r="C33" s="3" t="s">
        <v>647</v>
      </c>
      <c r="D33" s="3" t="s">
        <v>648</v>
      </c>
      <c r="E33" s="3" t="s">
        <v>449</v>
      </c>
      <c r="F33" s="3" t="s">
        <v>568</v>
      </c>
      <c r="G33" s="3" t="s">
        <v>649</v>
      </c>
      <c r="H33" s="3" t="s">
        <v>650</v>
      </c>
      <c r="I33" s="3" t="s">
        <v>651</v>
      </c>
      <c r="J33" s="3" t="s">
        <v>652</v>
      </c>
      <c r="K33" s="3" t="s">
        <v>455</v>
      </c>
      <c r="L33" s="3" t="s">
        <v>456</v>
      </c>
      <c r="M33" s="3" t="s">
        <v>457</v>
      </c>
      <c r="N33" s="3"/>
    </row>
    <row r="34" ht="13.8" spans="1:14">
      <c r="A34" s="3" t="s">
        <v>653</v>
      </c>
      <c r="B34" s="3" t="s">
        <v>156</v>
      </c>
      <c r="C34" s="3" t="s">
        <v>654</v>
      </c>
      <c r="D34" s="3" t="s">
        <v>655</v>
      </c>
      <c r="E34" s="3" t="s">
        <v>449</v>
      </c>
      <c r="F34" s="3" t="s">
        <v>568</v>
      </c>
      <c r="G34" s="3" t="s">
        <v>656</v>
      </c>
      <c r="H34" s="3" t="s">
        <v>657</v>
      </c>
      <c r="I34" s="3" t="s">
        <v>658</v>
      </c>
      <c r="J34" s="3" t="s">
        <v>659</v>
      </c>
      <c r="K34" s="3" t="s">
        <v>455</v>
      </c>
      <c r="L34" s="3" t="s">
        <v>589</v>
      </c>
      <c r="M34" s="3" t="s">
        <v>457</v>
      </c>
      <c r="N34" s="3"/>
    </row>
    <row r="35" ht="13.8" spans="1:14">
      <c r="A35" s="3" t="s">
        <v>660</v>
      </c>
      <c r="B35" s="3" t="s">
        <v>156</v>
      </c>
      <c r="C35" s="3" t="s">
        <v>661</v>
      </c>
      <c r="D35" s="3" t="s">
        <v>662</v>
      </c>
      <c r="E35" s="3" t="s">
        <v>449</v>
      </c>
      <c r="F35" s="3" t="s">
        <v>476</v>
      </c>
      <c r="G35" s="3" t="s">
        <v>663</v>
      </c>
      <c r="H35" s="3" t="s">
        <v>664</v>
      </c>
      <c r="I35" s="3" t="s">
        <v>665</v>
      </c>
      <c r="J35" s="3" t="s">
        <v>666</v>
      </c>
      <c r="K35" s="3" t="s">
        <v>455</v>
      </c>
      <c r="L35" s="3" t="s">
        <v>456</v>
      </c>
      <c r="M35" s="3" t="s">
        <v>457</v>
      </c>
      <c r="N35" s="3"/>
    </row>
    <row r="36" ht="13.8" spans="1:14">
      <c r="A36" s="3" t="s">
        <v>667</v>
      </c>
      <c r="B36" s="3" t="s">
        <v>156</v>
      </c>
      <c r="C36" s="3" t="s">
        <v>668</v>
      </c>
      <c r="D36" s="3" t="s">
        <v>669</v>
      </c>
      <c r="E36" s="3" t="s">
        <v>449</v>
      </c>
      <c r="F36" s="3" t="s">
        <v>476</v>
      </c>
      <c r="G36" s="3" t="s">
        <v>670</v>
      </c>
      <c r="H36" s="3" t="s">
        <v>671</v>
      </c>
      <c r="I36" s="3" t="s">
        <v>672</v>
      </c>
      <c r="J36" s="3" t="s">
        <v>673</v>
      </c>
      <c r="K36" s="3" t="s">
        <v>455</v>
      </c>
      <c r="L36" s="3" t="s">
        <v>456</v>
      </c>
      <c r="M36" s="3" t="s">
        <v>457</v>
      </c>
      <c r="N36" s="3"/>
    </row>
    <row r="37" ht="13.8" spans="1:14">
      <c r="A37" s="3" t="s">
        <v>674</v>
      </c>
      <c r="B37" s="3" t="s">
        <v>156</v>
      </c>
      <c r="C37" s="3" t="s">
        <v>675</v>
      </c>
      <c r="D37" s="3" t="s">
        <v>676</v>
      </c>
      <c r="E37" s="3" t="s">
        <v>470</v>
      </c>
      <c r="F37" s="3" t="s">
        <v>450</v>
      </c>
      <c r="G37" s="3" t="s">
        <v>677</v>
      </c>
      <c r="H37" s="3" t="s">
        <v>595</v>
      </c>
      <c r="I37" s="3" t="s">
        <v>678</v>
      </c>
      <c r="J37" s="3" t="s">
        <v>679</v>
      </c>
      <c r="K37" s="3" t="s">
        <v>455</v>
      </c>
      <c r="L37" s="3" t="s">
        <v>589</v>
      </c>
      <c r="M37" s="3" t="s">
        <v>457</v>
      </c>
      <c r="N37" s="3"/>
    </row>
    <row r="38" ht="13.8" spans="1:14">
      <c r="A38" s="3" t="s">
        <v>680</v>
      </c>
      <c r="B38" s="3" t="s">
        <v>162</v>
      </c>
      <c r="C38" s="3" t="s">
        <v>681</v>
      </c>
      <c r="D38" s="3" t="s">
        <v>682</v>
      </c>
      <c r="E38" s="3" t="s">
        <v>449</v>
      </c>
      <c r="F38" s="3" t="s">
        <v>450</v>
      </c>
      <c r="G38" s="3" t="s">
        <v>683</v>
      </c>
      <c r="H38" s="3" t="s">
        <v>684</v>
      </c>
      <c r="I38" s="3" t="s">
        <v>685</v>
      </c>
      <c r="J38" s="3" t="s">
        <v>686</v>
      </c>
      <c r="K38" s="3" t="s">
        <v>455</v>
      </c>
      <c r="L38" s="3" t="s">
        <v>456</v>
      </c>
      <c r="M38" s="3" t="s">
        <v>457</v>
      </c>
      <c r="N38" s="3"/>
    </row>
    <row r="39" ht="13.8" spans="1:14">
      <c r="A39" s="3" t="s">
        <v>687</v>
      </c>
      <c r="B39" s="3" t="s">
        <v>162</v>
      </c>
      <c r="C39" s="3" t="s">
        <v>688</v>
      </c>
      <c r="D39" s="3" t="s">
        <v>689</v>
      </c>
      <c r="E39" s="3" t="s">
        <v>449</v>
      </c>
      <c r="F39" s="3" t="s">
        <v>450</v>
      </c>
      <c r="G39" s="3" t="s">
        <v>690</v>
      </c>
      <c r="H39" s="3" t="s">
        <v>691</v>
      </c>
      <c r="I39" s="3" t="s">
        <v>692</v>
      </c>
      <c r="J39" s="3" t="s">
        <v>693</v>
      </c>
      <c r="K39" s="3" t="s">
        <v>455</v>
      </c>
      <c r="L39" s="3" t="s">
        <v>589</v>
      </c>
      <c r="M39" s="3" t="s">
        <v>457</v>
      </c>
      <c r="N39" s="3" t="s">
        <v>694</v>
      </c>
    </row>
    <row r="40" ht="13.8" spans="1:14">
      <c r="A40" s="3" t="s">
        <v>695</v>
      </c>
      <c r="B40" s="3" t="s">
        <v>162</v>
      </c>
      <c r="C40" s="3" t="s">
        <v>696</v>
      </c>
      <c r="D40" s="3" t="s">
        <v>697</v>
      </c>
      <c r="E40" s="3" t="s">
        <v>449</v>
      </c>
      <c r="F40" s="3" t="s">
        <v>476</v>
      </c>
      <c r="G40" s="3" t="s">
        <v>698</v>
      </c>
      <c r="H40" s="3" t="s">
        <v>699</v>
      </c>
      <c r="I40" s="3" t="s">
        <v>700</v>
      </c>
      <c r="J40" s="3" t="s">
        <v>701</v>
      </c>
      <c r="K40" s="3" t="s">
        <v>455</v>
      </c>
      <c r="L40" s="3" t="s">
        <v>589</v>
      </c>
      <c r="M40" s="3" t="s">
        <v>457</v>
      </c>
      <c r="N40" s="3"/>
    </row>
    <row r="41" ht="13.8" spans="1:14">
      <c r="A41" s="3" t="s">
        <v>702</v>
      </c>
      <c r="B41" s="3" t="s">
        <v>162</v>
      </c>
      <c r="C41" s="3" t="s">
        <v>703</v>
      </c>
      <c r="D41" s="3" t="s">
        <v>704</v>
      </c>
      <c r="E41" s="3" t="s">
        <v>449</v>
      </c>
      <c r="F41" s="3" t="s">
        <v>476</v>
      </c>
      <c r="G41" s="3" t="s">
        <v>698</v>
      </c>
      <c r="H41" s="3" t="s">
        <v>705</v>
      </c>
      <c r="I41" s="3" t="s">
        <v>706</v>
      </c>
      <c r="J41" s="3" t="s">
        <v>707</v>
      </c>
      <c r="K41" s="3" t="s">
        <v>455</v>
      </c>
      <c r="L41" s="3" t="s">
        <v>589</v>
      </c>
      <c r="M41" s="3" t="s">
        <v>457</v>
      </c>
      <c r="N41" s="3"/>
    </row>
    <row r="42" ht="13.8" spans="1:14">
      <c r="A42" s="3" t="s">
        <v>708</v>
      </c>
      <c r="B42" s="3" t="s">
        <v>162</v>
      </c>
      <c r="C42" s="3" t="s">
        <v>709</v>
      </c>
      <c r="D42" s="3" t="s">
        <v>710</v>
      </c>
      <c r="E42" s="3" t="s">
        <v>449</v>
      </c>
      <c r="F42" s="3" t="s">
        <v>476</v>
      </c>
      <c r="G42" s="3" t="s">
        <v>711</v>
      </c>
      <c r="H42" s="3" t="s">
        <v>712</v>
      </c>
      <c r="I42" s="3" t="s">
        <v>713</v>
      </c>
      <c r="J42" s="3" t="s">
        <v>714</v>
      </c>
      <c r="K42" s="3" t="s">
        <v>455</v>
      </c>
      <c r="L42" s="3" t="s">
        <v>456</v>
      </c>
      <c r="M42" s="3" t="s">
        <v>457</v>
      </c>
      <c r="N42" s="3"/>
    </row>
    <row r="43" ht="13.8" spans="1:14">
      <c r="A43" s="3" t="s">
        <v>715</v>
      </c>
      <c r="B43" s="3" t="s">
        <v>162</v>
      </c>
      <c r="C43" s="3" t="s">
        <v>716</v>
      </c>
      <c r="D43" s="3" t="s">
        <v>717</v>
      </c>
      <c r="E43" s="3" t="s">
        <v>449</v>
      </c>
      <c r="F43" s="3" t="s">
        <v>450</v>
      </c>
      <c r="G43" s="3" t="s">
        <v>698</v>
      </c>
      <c r="H43" s="3" t="s">
        <v>718</v>
      </c>
      <c r="I43" s="3" t="s">
        <v>719</v>
      </c>
      <c r="J43" s="3" t="s">
        <v>720</v>
      </c>
      <c r="K43" s="3" t="s">
        <v>455</v>
      </c>
      <c r="L43" s="3" t="s">
        <v>589</v>
      </c>
      <c r="M43" s="3" t="s">
        <v>457</v>
      </c>
      <c r="N43" s="3"/>
    </row>
    <row r="44" ht="13.8" spans="1:14">
      <c r="A44" s="3" t="s">
        <v>721</v>
      </c>
      <c r="B44" s="3" t="s">
        <v>162</v>
      </c>
      <c r="C44" s="3" t="s">
        <v>722</v>
      </c>
      <c r="D44" s="3" t="s">
        <v>723</v>
      </c>
      <c r="E44" s="3" t="s">
        <v>449</v>
      </c>
      <c r="F44" s="3" t="s">
        <v>476</v>
      </c>
      <c r="G44" s="3" t="s">
        <v>724</v>
      </c>
      <c r="H44" s="3" t="s">
        <v>725</v>
      </c>
      <c r="I44" s="3" t="s">
        <v>672</v>
      </c>
      <c r="J44" s="3" t="s">
        <v>726</v>
      </c>
      <c r="K44" s="3" t="s">
        <v>455</v>
      </c>
      <c r="L44" s="3" t="s">
        <v>456</v>
      </c>
      <c r="M44" s="3" t="s">
        <v>457</v>
      </c>
      <c r="N44" s="3"/>
    </row>
    <row r="45" ht="13.8" spans="1:14">
      <c r="A45" s="3" t="s">
        <v>727</v>
      </c>
      <c r="B45" s="3" t="s">
        <v>162</v>
      </c>
      <c r="C45" s="3" t="s">
        <v>728</v>
      </c>
      <c r="D45" s="3" t="s">
        <v>729</v>
      </c>
      <c r="E45" s="3" t="s">
        <v>449</v>
      </c>
      <c r="F45" s="3" t="s">
        <v>568</v>
      </c>
      <c r="G45" s="3" t="s">
        <v>730</v>
      </c>
      <c r="H45" s="3" t="s">
        <v>718</v>
      </c>
      <c r="I45" s="3" t="s">
        <v>731</v>
      </c>
      <c r="J45" s="3" t="s">
        <v>732</v>
      </c>
      <c r="K45" s="3" t="s">
        <v>455</v>
      </c>
      <c r="L45" s="3" t="s">
        <v>456</v>
      </c>
      <c r="M45" s="3" t="s">
        <v>457</v>
      </c>
      <c r="N45" s="3"/>
    </row>
    <row r="46" ht="13.8" spans="1:14">
      <c r="A46" s="3" t="s">
        <v>733</v>
      </c>
      <c r="B46" s="3" t="s">
        <v>734</v>
      </c>
      <c r="C46" s="3" t="s">
        <v>735</v>
      </c>
      <c r="D46" s="3" t="s">
        <v>736</v>
      </c>
      <c r="E46" s="3" t="s">
        <v>449</v>
      </c>
      <c r="F46" s="3" t="s">
        <v>476</v>
      </c>
      <c r="G46" s="3" t="s">
        <v>737</v>
      </c>
      <c r="H46" s="3" t="s">
        <v>738</v>
      </c>
      <c r="I46" s="3" t="s">
        <v>739</v>
      </c>
      <c r="J46" s="3" t="s">
        <v>740</v>
      </c>
      <c r="K46" s="3" t="s">
        <v>455</v>
      </c>
      <c r="L46" s="3" t="s">
        <v>589</v>
      </c>
      <c r="M46" s="3" t="s">
        <v>457</v>
      </c>
      <c r="N46" s="3"/>
    </row>
    <row r="47" ht="13.8" spans="1:14">
      <c r="A47" s="3" t="s">
        <v>741</v>
      </c>
      <c r="B47" s="3" t="s">
        <v>734</v>
      </c>
      <c r="C47" s="3" t="s">
        <v>742</v>
      </c>
      <c r="D47" s="3" t="s">
        <v>743</v>
      </c>
      <c r="E47" s="3" t="s">
        <v>449</v>
      </c>
      <c r="F47" s="3" t="s">
        <v>476</v>
      </c>
      <c r="G47" s="3" t="s">
        <v>737</v>
      </c>
      <c r="H47" s="3" t="s">
        <v>744</v>
      </c>
      <c r="I47" s="3" t="s">
        <v>739</v>
      </c>
      <c r="J47" s="3" t="s">
        <v>745</v>
      </c>
      <c r="K47" s="3" t="s">
        <v>455</v>
      </c>
      <c r="L47" s="3" t="s">
        <v>456</v>
      </c>
      <c r="M47" s="3" t="s">
        <v>457</v>
      </c>
      <c r="N47" s="3"/>
    </row>
    <row r="48" ht="13.8" spans="1:14">
      <c r="A48" s="3" t="s">
        <v>746</v>
      </c>
      <c r="B48" s="3" t="s">
        <v>734</v>
      </c>
      <c r="C48" s="3" t="s">
        <v>747</v>
      </c>
      <c r="D48" s="3" t="s">
        <v>748</v>
      </c>
      <c r="E48" s="3" t="s">
        <v>483</v>
      </c>
      <c r="F48" s="3" t="s">
        <v>476</v>
      </c>
      <c r="G48" s="3" t="s">
        <v>737</v>
      </c>
      <c r="H48" s="3" t="s">
        <v>749</v>
      </c>
      <c r="I48" s="3" t="s">
        <v>750</v>
      </c>
      <c r="J48" s="3" t="s">
        <v>751</v>
      </c>
      <c r="K48" s="3" t="s">
        <v>455</v>
      </c>
      <c r="L48" s="3" t="s">
        <v>456</v>
      </c>
      <c r="M48" s="3" t="s">
        <v>457</v>
      </c>
      <c r="N48" s="3"/>
    </row>
    <row r="49" ht="13.8" spans="1:14">
      <c r="A49" s="3" t="s">
        <v>752</v>
      </c>
      <c r="B49" s="3" t="s">
        <v>734</v>
      </c>
      <c r="C49" s="3" t="s">
        <v>753</v>
      </c>
      <c r="D49" s="3" t="s">
        <v>754</v>
      </c>
      <c r="E49" s="3" t="s">
        <v>449</v>
      </c>
      <c r="F49" s="3" t="s">
        <v>476</v>
      </c>
      <c r="G49" s="3" t="s">
        <v>755</v>
      </c>
      <c r="H49" s="3" t="s">
        <v>756</v>
      </c>
      <c r="I49" s="3" t="s">
        <v>757</v>
      </c>
      <c r="J49" s="3" t="s">
        <v>758</v>
      </c>
      <c r="K49" s="3" t="s">
        <v>455</v>
      </c>
      <c r="L49" s="3" t="s">
        <v>589</v>
      </c>
      <c r="M49" s="3" t="s">
        <v>457</v>
      </c>
      <c r="N49" s="3"/>
    </row>
    <row r="50" ht="13.8" spans="1:14">
      <c r="A50" s="3" t="s">
        <v>759</v>
      </c>
      <c r="B50" s="3" t="s">
        <v>173</v>
      </c>
      <c r="C50" s="3" t="s">
        <v>760</v>
      </c>
      <c r="D50" s="3" t="s">
        <v>761</v>
      </c>
      <c r="E50" s="3" t="s">
        <v>449</v>
      </c>
      <c r="F50" s="3" t="s">
        <v>450</v>
      </c>
      <c r="G50" s="3" t="s">
        <v>762</v>
      </c>
      <c r="H50" s="3" t="s">
        <v>595</v>
      </c>
      <c r="I50" s="3" t="s">
        <v>763</v>
      </c>
      <c r="J50" s="3" t="s">
        <v>764</v>
      </c>
      <c r="K50" s="3" t="s">
        <v>455</v>
      </c>
      <c r="L50" s="3" t="s">
        <v>589</v>
      </c>
      <c r="M50" s="3" t="s">
        <v>457</v>
      </c>
      <c r="N50" s="3" t="s">
        <v>765</v>
      </c>
    </row>
    <row r="51" ht="13.8" spans="1:14">
      <c r="A51" s="3" t="s">
        <v>766</v>
      </c>
      <c r="B51" s="3" t="s">
        <v>173</v>
      </c>
      <c r="C51" s="3" t="s">
        <v>767</v>
      </c>
      <c r="D51" s="3" t="s">
        <v>768</v>
      </c>
      <c r="E51" s="3" t="s">
        <v>449</v>
      </c>
      <c r="F51" s="3" t="s">
        <v>450</v>
      </c>
      <c r="G51" s="3" t="s">
        <v>769</v>
      </c>
      <c r="H51" s="3" t="s">
        <v>595</v>
      </c>
      <c r="I51" s="3" t="s">
        <v>770</v>
      </c>
      <c r="J51" s="3" t="s">
        <v>771</v>
      </c>
      <c r="K51" s="3" t="s">
        <v>455</v>
      </c>
      <c r="L51" s="3" t="s">
        <v>589</v>
      </c>
      <c r="M51" s="3" t="s">
        <v>457</v>
      </c>
      <c r="N51" s="3" t="s">
        <v>765</v>
      </c>
    </row>
    <row r="52" ht="13.8" spans="1:14">
      <c r="A52" s="3" t="s">
        <v>772</v>
      </c>
      <c r="B52" s="3" t="s">
        <v>173</v>
      </c>
      <c r="C52" s="3" t="s">
        <v>773</v>
      </c>
      <c r="D52" s="3" t="s">
        <v>774</v>
      </c>
      <c r="E52" s="3" t="s">
        <v>449</v>
      </c>
      <c r="F52" s="3" t="s">
        <v>476</v>
      </c>
      <c r="G52" s="3" t="s">
        <v>775</v>
      </c>
      <c r="H52" s="3" t="s">
        <v>776</v>
      </c>
      <c r="I52" s="3" t="s">
        <v>602</v>
      </c>
      <c r="J52" s="3" t="s">
        <v>777</v>
      </c>
      <c r="K52" s="3" t="s">
        <v>455</v>
      </c>
      <c r="L52" s="3" t="s">
        <v>589</v>
      </c>
      <c r="M52" s="3" t="s">
        <v>457</v>
      </c>
      <c r="N52" s="3"/>
    </row>
    <row r="53" ht="13.8" spans="1:14">
      <c r="A53" s="3" t="s">
        <v>778</v>
      </c>
      <c r="B53" s="3" t="s">
        <v>173</v>
      </c>
      <c r="C53" s="3" t="s">
        <v>779</v>
      </c>
      <c r="D53" s="3" t="s">
        <v>780</v>
      </c>
      <c r="E53" s="3" t="s">
        <v>449</v>
      </c>
      <c r="F53" s="3" t="s">
        <v>568</v>
      </c>
      <c r="G53" s="3" t="s">
        <v>781</v>
      </c>
      <c r="H53" s="3" t="s">
        <v>782</v>
      </c>
      <c r="I53" s="3" t="s">
        <v>783</v>
      </c>
      <c r="J53" s="3" t="s">
        <v>784</v>
      </c>
      <c r="K53" s="3" t="s">
        <v>455</v>
      </c>
      <c r="L53" s="3" t="s">
        <v>589</v>
      </c>
      <c r="M53" s="3" t="s">
        <v>457</v>
      </c>
      <c r="N53" s="3"/>
    </row>
    <row r="54" ht="13.8" spans="1:14">
      <c r="A54" s="3" t="s">
        <v>785</v>
      </c>
      <c r="B54" s="3" t="s">
        <v>786</v>
      </c>
      <c r="C54" s="3" t="s">
        <v>787</v>
      </c>
      <c r="D54" s="3" t="s">
        <v>788</v>
      </c>
      <c r="E54" s="3" t="s">
        <v>449</v>
      </c>
      <c r="F54" s="3" t="s">
        <v>450</v>
      </c>
      <c r="G54" s="3" t="s">
        <v>789</v>
      </c>
      <c r="H54" s="3" t="s">
        <v>790</v>
      </c>
      <c r="I54" s="3" t="s">
        <v>791</v>
      </c>
      <c r="J54" s="3" t="s">
        <v>792</v>
      </c>
      <c r="K54" s="3" t="s">
        <v>455</v>
      </c>
      <c r="L54" s="3" t="s">
        <v>456</v>
      </c>
      <c r="M54" s="3" t="s">
        <v>457</v>
      </c>
      <c r="N54" s="3"/>
    </row>
    <row r="55" ht="13.8" spans="1:14">
      <c r="A55" s="3" t="s">
        <v>793</v>
      </c>
      <c r="B55" s="3" t="s">
        <v>786</v>
      </c>
      <c r="C55" s="3" t="s">
        <v>794</v>
      </c>
      <c r="D55" s="3" t="s">
        <v>795</v>
      </c>
      <c r="E55" s="3" t="s">
        <v>483</v>
      </c>
      <c r="F55" s="3" t="s">
        <v>476</v>
      </c>
      <c r="G55" s="3" t="s">
        <v>796</v>
      </c>
      <c r="H55" s="3" t="s">
        <v>797</v>
      </c>
      <c r="I55" s="3" t="s">
        <v>798</v>
      </c>
      <c r="J55" s="3" t="s">
        <v>799</v>
      </c>
      <c r="K55" s="3" t="s">
        <v>455</v>
      </c>
      <c r="L55" s="3" t="s">
        <v>456</v>
      </c>
      <c r="M55" s="3" t="s">
        <v>457</v>
      </c>
      <c r="N55" s="3"/>
    </row>
    <row r="56" ht="13.8" spans="1:14">
      <c r="A56" s="3" t="s">
        <v>800</v>
      </c>
      <c r="B56" s="3" t="s">
        <v>786</v>
      </c>
      <c r="C56" s="3" t="s">
        <v>801</v>
      </c>
      <c r="D56" s="3" t="s">
        <v>802</v>
      </c>
      <c r="E56" s="3" t="s">
        <v>470</v>
      </c>
      <c r="F56" s="3" t="s">
        <v>450</v>
      </c>
      <c r="G56" s="3" t="s">
        <v>803</v>
      </c>
      <c r="H56" s="3" t="s">
        <v>804</v>
      </c>
      <c r="I56" s="3" t="s">
        <v>805</v>
      </c>
      <c r="J56" s="3" t="s">
        <v>806</v>
      </c>
      <c r="K56" s="3" t="s">
        <v>455</v>
      </c>
      <c r="L56" s="3" t="s">
        <v>456</v>
      </c>
      <c r="M56" s="3" t="s">
        <v>457</v>
      </c>
      <c r="N56" s="3"/>
    </row>
    <row r="57" ht="13.8" spans="1:14">
      <c r="A57" s="3" t="s">
        <v>807</v>
      </c>
      <c r="B57" s="3" t="s">
        <v>786</v>
      </c>
      <c r="C57" s="3" t="s">
        <v>808</v>
      </c>
      <c r="D57" s="3" t="s">
        <v>809</v>
      </c>
      <c r="E57" s="3" t="s">
        <v>449</v>
      </c>
      <c r="F57" s="3" t="s">
        <v>476</v>
      </c>
      <c r="G57" s="3" t="s">
        <v>810</v>
      </c>
      <c r="H57" s="3" t="s">
        <v>811</v>
      </c>
      <c r="I57" s="3" t="s">
        <v>812</v>
      </c>
      <c r="J57" s="3" t="s">
        <v>813</v>
      </c>
      <c r="K57" s="3" t="s">
        <v>455</v>
      </c>
      <c r="L57" s="3" t="s">
        <v>456</v>
      </c>
      <c r="M57" s="3" t="s">
        <v>457</v>
      </c>
      <c r="N57" s="3"/>
    </row>
    <row r="58" ht="13.8" spans="1:14">
      <c r="A58" s="3" t="s">
        <v>814</v>
      </c>
      <c r="B58" s="3" t="s">
        <v>786</v>
      </c>
      <c r="C58" s="3" t="s">
        <v>815</v>
      </c>
      <c r="D58" s="3" t="s">
        <v>816</v>
      </c>
      <c r="E58" s="3" t="s">
        <v>449</v>
      </c>
      <c r="F58" s="3" t="s">
        <v>568</v>
      </c>
      <c r="G58" s="3" t="s">
        <v>817</v>
      </c>
      <c r="H58" s="3" t="s">
        <v>818</v>
      </c>
      <c r="I58" s="3" t="s">
        <v>819</v>
      </c>
      <c r="J58" s="3" t="s">
        <v>820</v>
      </c>
      <c r="K58" s="3" t="s">
        <v>455</v>
      </c>
      <c r="L58" s="3" t="s">
        <v>456</v>
      </c>
      <c r="M58" s="3" t="s">
        <v>457</v>
      </c>
      <c r="N58" s="3"/>
    </row>
    <row r="59" ht="13.8" spans="1:14">
      <c r="A59" s="3" t="s">
        <v>821</v>
      </c>
      <c r="B59" s="3" t="s">
        <v>185</v>
      </c>
      <c r="C59" s="3" t="s">
        <v>822</v>
      </c>
      <c r="D59" s="3" t="s">
        <v>823</v>
      </c>
      <c r="E59" s="3" t="s">
        <v>449</v>
      </c>
      <c r="F59" s="3" t="s">
        <v>450</v>
      </c>
      <c r="G59" s="3" t="s">
        <v>824</v>
      </c>
      <c r="H59" s="3" t="s">
        <v>465</v>
      </c>
      <c r="I59" s="3" t="s">
        <v>825</v>
      </c>
      <c r="J59" s="3" t="s">
        <v>826</v>
      </c>
      <c r="K59" s="3" t="s">
        <v>455</v>
      </c>
      <c r="L59" s="3" t="s">
        <v>456</v>
      </c>
      <c r="M59" s="3" t="s">
        <v>457</v>
      </c>
      <c r="N59" s="3"/>
    </row>
    <row r="60" ht="13.8" spans="1:14">
      <c r="A60" s="3" t="s">
        <v>827</v>
      </c>
      <c r="B60" s="3" t="s">
        <v>185</v>
      </c>
      <c r="C60" s="3" t="s">
        <v>828</v>
      </c>
      <c r="D60" s="3" t="s">
        <v>829</v>
      </c>
      <c r="E60" s="3" t="s">
        <v>449</v>
      </c>
      <c r="F60" s="3" t="s">
        <v>476</v>
      </c>
      <c r="G60" s="3" t="s">
        <v>824</v>
      </c>
      <c r="H60" s="3" t="s">
        <v>830</v>
      </c>
      <c r="I60" s="3" t="s">
        <v>831</v>
      </c>
      <c r="J60" s="3" t="s">
        <v>832</v>
      </c>
      <c r="K60" s="3" t="s">
        <v>455</v>
      </c>
      <c r="L60" s="3" t="s">
        <v>456</v>
      </c>
      <c r="M60" s="3" t="s">
        <v>457</v>
      </c>
      <c r="N60" s="3"/>
    </row>
    <row r="61" ht="13.8" spans="1:14">
      <c r="A61" s="3" t="s">
        <v>833</v>
      </c>
      <c r="B61" s="3" t="s">
        <v>185</v>
      </c>
      <c r="C61" s="3" t="s">
        <v>834</v>
      </c>
      <c r="D61" s="3" t="s">
        <v>835</v>
      </c>
      <c r="E61" s="3" t="s">
        <v>449</v>
      </c>
      <c r="F61" s="3" t="s">
        <v>450</v>
      </c>
      <c r="G61" s="3" t="s">
        <v>836</v>
      </c>
      <c r="H61" s="3" t="s">
        <v>837</v>
      </c>
      <c r="I61" s="3" t="s">
        <v>838</v>
      </c>
      <c r="J61" s="3" t="s">
        <v>839</v>
      </c>
      <c r="K61" s="3" t="s">
        <v>455</v>
      </c>
      <c r="L61" s="3" t="s">
        <v>456</v>
      </c>
      <c r="M61" s="3" t="s">
        <v>457</v>
      </c>
      <c r="N61" s="3"/>
    </row>
    <row r="62" ht="13.8" spans="1:14">
      <c r="A62" s="3" t="s">
        <v>840</v>
      </c>
      <c r="B62" s="3" t="s">
        <v>185</v>
      </c>
      <c r="C62" s="3" t="s">
        <v>841</v>
      </c>
      <c r="D62" s="3" t="s">
        <v>842</v>
      </c>
      <c r="E62" s="3" t="s">
        <v>449</v>
      </c>
      <c r="F62" s="3" t="s">
        <v>450</v>
      </c>
      <c r="G62" s="3" t="s">
        <v>843</v>
      </c>
      <c r="H62" s="3" t="s">
        <v>837</v>
      </c>
      <c r="I62" s="3" t="s">
        <v>844</v>
      </c>
      <c r="J62" s="3" t="s">
        <v>845</v>
      </c>
      <c r="K62" s="3" t="s">
        <v>455</v>
      </c>
      <c r="L62" s="3" t="s">
        <v>456</v>
      </c>
      <c r="M62" s="3" t="s">
        <v>457</v>
      </c>
      <c r="N62" s="3"/>
    </row>
    <row r="63" ht="27.6" spans="1:14">
      <c r="A63" s="3" t="s">
        <v>846</v>
      </c>
      <c r="B63" s="3" t="s">
        <v>185</v>
      </c>
      <c r="C63" s="3" t="s">
        <v>847</v>
      </c>
      <c r="D63" s="3" t="s">
        <v>848</v>
      </c>
      <c r="E63" s="3" t="s">
        <v>470</v>
      </c>
      <c r="F63" s="3" t="s">
        <v>450</v>
      </c>
      <c r="G63" s="3" t="s">
        <v>849</v>
      </c>
      <c r="H63" s="3" t="s">
        <v>837</v>
      </c>
      <c r="I63" s="3" t="s">
        <v>850</v>
      </c>
      <c r="J63" s="3" t="s">
        <v>851</v>
      </c>
      <c r="K63" s="3" t="s">
        <v>455</v>
      </c>
      <c r="L63" s="3" t="s">
        <v>589</v>
      </c>
      <c r="M63" s="3" t="s">
        <v>457</v>
      </c>
      <c r="N63" s="3" t="s">
        <v>852</v>
      </c>
    </row>
    <row r="64" ht="13.8" spans="1:14">
      <c r="A64" s="3" t="s">
        <v>853</v>
      </c>
      <c r="B64" s="3" t="s">
        <v>185</v>
      </c>
      <c r="C64" s="3" t="s">
        <v>854</v>
      </c>
      <c r="D64" s="3" t="s">
        <v>855</v>
      </c>
      <c r="E64" s="3" t="s">
        <v>449</v>
      </c>
      <c r="F64" s="3" t="s">
        <v>450</v>
      </c>
      <c r="G64" s="3" t="s">
        <v>856</v>
      </c>
      <c r="H64" s="3" t="s">
        <v>857</v>
      </c>
      <c r="I64" s="3" t="s">
        <v>858</v>
      </c>
      <c r="J64" s="3" t="s">
        <v>859</v>
      </c>
      <c r="K64" s="3" t="s">
        <v>455</v>
      </c>
      <c r="L64" s="3" t="s">
        <v>589</v>
      </c>
      <c r="M64" s="3" t="s">
        <v>457</v>
      </c>
      <c r="N64" s="3"/>
    </row>
    <row r="65" ht="13.8" spans="1:14">
      <c r="A65" s="3" t="s">
        <v>860</v>
      </c>
      <c r="B65" s="3" t="s">
        <v>861</v>
      </c>
      <c r="C65" s="3" t="s">
        <v>862</v>
      </c>
      <c r="D65" s="3" t="s">
        <v>863</v>
      </c>
      <c r="E65" s="3" t="s">
        <v>449</v>
      </c>
      <c r="F65" s="3" t="s">
        <v>476</v>
      </c>
      <c r="G65" s="3" t="s">
        <v>864</v>
      </c>
      <c r="H65" s="3" t="s">
        <v>865</v>
      </c>
      <c r="I65" s="3" t="s">
        <v>866</v>
      </c>
      <c r="J65" s="3" t="s">
        <v>867</v>
      </c>
      <c r="K65" s="3" t="s">
        <v>455</v>
      </c>
      <c r="L65" s="3" t="s">
        <v>589</v>
      </c>
      <c r="M65" s="3" t="s">
        <v>457</v>
      </c>
      <c r="N65" s="3"/>
    </row>
    <row r="66" ht="13.8" spans="1:14">
      <c r="A66" s="3" t="s">
        <v>868</v>
      </c>
      <c r="B66" s="3" t="s">
        <v>861</v>
      </c>
      <c r="C66" s="3" t="s">
        <v>869</v>
      </c>
      <c r="D66" s="3" t="s">
        <v>870</v>
      </c>
      <c r="E66" s="3" t="s">
        <v>449</v>
      </c>
      <c r="F66" s="3" t="s">
        <v>476</v>
      </c>
      <c r="G66" s="3" t="s">
        <v>871</v>
      </c>
      <c r="H66" s="3" t="s">
        <v>872</v>
      </c>
      <c r="I66" s="3" t="s">
        <v>873</v>
      </c>
      <c r="J66" s="3" t="s">
        <v>874</v>
      </c>
      <c r="K66" s="3" t="s">
        <v>455</v>
      </c>
      <c r="L66" s="3" t="s">
        <v>456</v>
      </c>
      <c r="M66" s="3" t="s">
        <v>457</v>
      </c>
      <c r="N66" s="3"/>
    </row>
    <row r="67" ht="13.8" spans="1:14">
      <c r="A67" s="3" t="s">
        <v>875</v>
      </c>
      <c r="B67" s="3" t="s">
        <v>876</v>
      </c>
      <c r="C67" s="3" t="s">
        <v>877</v>
      </c>
      <c r="D67" s="3" t="s">
        <v>878</v>
      </c>
      <c r="E67" s="3" t="s">
        <v>470</v>
      </c>
      <c r="F67" s="3" t="s">
        <v>450</v>
      </c>
      <c r="G67" s="3" t="s">
        <v>879</v>
      </c>
      <c r="H67" s="3" t="s">
        <v>880</v>
      </c>
      <c r="I67" s="3" t="s">
        <v>881</v>
      </c>
      <c r="J67" s="3" t="s">
        <v>882</v>
      </c>
      <c r="K67" s="3" t="s">
        <v>455</v>
      </c>
      <c r="L67" s="3" t="s">
        <v>456</v>
      </c>
      <c r="M67" s="3" t="s">
        <v>457</v>
      </c>
      <c r="N67" s="3"/>
    </row>
    <row r="68" ht="13.8" spans="1:14">
      <c r="A68" s="3" t="s">
        <v>883</v>
      </c>
      <c r="B68" s="3" t="s">
        <v>876</v>
      </c>
      <c r="C68" s="3" t="s">
        <v>884</v>
      </c>
      <c r="D68" s="3" t="s">
        <v>885</v>
      </c>
      <c r="E68" s="3" t="s">
        <v>470</v>
      </c>
      <c r="F68" s="3" t="s">
        <v>450</v>
      </c>
      <c r="G68" s="3" t="s">
        <v>886</v>
      </c>
      <c r="H68" s="3" t="s">
        <v>887</v>
      </c>
      <c r="I68" s="3" t="s">
        <v>888</v>
      </c>
      <c r="J68" s="3" t="s">
        <v>889</v>
      </c>
      <c r="K68" s="3" t="s">
        <v>455</v>
      </c>
      <c r="L68" s="3" t="s">
        <v>456</v>
      </c>
      <c r="M68" s="3" t="s">
        <v>457</v>
      </c>
      <c r="N68" s="3"/>
    </row>
    <row r="69" ht="13.8" spans="1:14">
      <c r="A69" s="3" t="s">
        <v>890</v>
      </c>
      <c r="B69" s="3" t="s">
        <v>891</v>
      </c>
      <c r="C69" s="3" t="s">
        <v>892</v>
      </c>
      <c r="D69" s="3" t="s">
        <v>893</v>
      </c>
      <c r="E69" s="3" t="s">
        <v>449</v>
      </c>
      <c r="F69" s="3" t="s">
        <v>450</v>
      </c>
      <c r="G69" s="3" t="s">
        <v>894</v>
      </c>
      <c r="H69" s="3" t="s">
        <v>895</v>
      </c>
      <c r="I69" s="3" t="s">
        <v>896</v>
      </c>
      <c r="J69" s="3" t="s">
        <v>897</v>
      </c>
      <c r="K69" s="3" t="s">
        <v>455</v>
      </c>
      <c r="L69" s="3" t="s">
        <v>589</v>
      </c>
      <c r="M69" s="3" t="s">
        <v>457</v>
      </c>
      <c r="N69" s="3"/>
    </row>
    <row r="70" ht="13.8" spans="1:14">
      <c r="A70" s="3" t="s">
        <v>898</v>
      </c>
      <c r="B70" s="3" t="s">
        <v>891</v>
      </c>
      <c r="C70" s="3" t="s">
        <v>899</v>
      </c>
      <c r="D70" s="3" t="s">
        <v>900</v>
      </c>
      <c r="E70" s="3" t="s">
        <v>449</v>
      </c>
      <c r="F70" s="3" t="s">
        <v>450</v>
      </c>
      <c r="G70" s="3" t="s">
        <v>901</v>
      </c>
      <c r="H70" s="3" t="s">
        <v>864</v>
      </c>
      <c r="I70" s="3" t="s">
        <v>902</v>
      </c>
      <c r="J70" s="3" t="s">
        <v>903</v>
      </c>
      <c r="K70" s="3" t="s">
        <v>455</v>
      </c>
      <c r="L70" s="3" t="s">
        <v>589</v>
      </c>
      <c r="M70" s="3" t="s">
        <v>457</v>
      </c>
      <c r="N70" s="3"/>
    </row>
    <row r="71" ht="13.8" spans="1:14">
      <c r="A71" s="3" t="s">
        <v>904</v>
      </c>
      <c r="B71" s="3" t="s">
        <v>891</v>
      </c>
      <c r="C71" s="3" t="s">
        <v>905</v>
      </c>
      <c r="D71" s="3" t="s">
        <v>906</v>
      </c>
      <c r="E71" s="3" t="s">
        <v>449</v>
      </c>
      <c r="F71" s="3" t="s">
        <v>476</v>
      </c>
      <c r="G71" s="3" t="s">
        <v>907</v>
      </c>
      <c r="H71" s="3" t="s">
        <v>908</v>
      </c>
      <c r="I71" s="3" t="s">
        <v>909</v>
      </c>
      <c r="J71" s="3" t="s">
        <v>910</v>
      </c>
      <c r="K71" s="3" t="s">
        <v>455</v>
      </c>
      <c r="L71" s="3" t="s">
        <v>589</v>
      </c>
      <c r="M71" s="3" t="s">
        <v>457</v>
      </c>
      <c r="N71"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16</vt:i4>
      </vt:variant>
    </vt:vector>
  </HeadingPairs>
  <TitlesOfParts>
    <vt:vector size="16" baseType="lpstr">
      <vt:lpstr>Guidleline</vt:lpstr>
      <vt:lpstr>Cover</vt:lpstr>
      <vt:lpstr>FunctionList</vt:lpstr>
      <vt:lpstr>Test Report</vt:lpstr>
      <vt:lpstr>UT Lab 1</vt:lpstr>
      <vt:lpstr>UT Lab 2</vt:lpstr>
      <vt:lpstr>UT Lab 3</vt:lpstr>
      <vt:lpstr>UT Lab 4</vt:lpstr>
      <vt:lpstr>UT Lab 5</vt:lpstr>
      <vt:lpstr>UT Lab 6</vt:lpstr>
      <vt:lpstr>UT Lab 7</vt:lpstr>
      <vt:lpstr>UT Lab 8</vt:lpstr>
      <vt:lpstr>UT Lab 9</vt:lpstr>
      <vt:lpstr>UT Lab10</vt:lpstr>
      <vt:lpstr>UT Lab11</vt:lpstr>
      <vt:lpstr>Full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Phạm Ý</cp:lastModifiedBy>
  <dcterms:created xsi:type="dcterms:W3CDTF">2026-06-04T05:17:24Z</dcterms:created>
  <dcterms:modified xsi:type="dcterms:W3CDTF">2026-06-04T05:58:09Z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952D1793EB094A40B68F847456537C0A_12</vt:lpwstr>
  </property>
  <property fmtid="{D5CDD505-2E9C-101B-9397-08002B2CF9AE}" pid="3" name="KSOProductBuildVer">
    <vt:lpwstr>2057-12.2.0.23202</vt:lpwstr>
  </property>
</Properties>
</file>